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Abo-Tracker" sheetId="2" state="visible" r:id="rId2"/>
    <sheet xmlns:r="http://schemas.openxmlformats.org/officeDocument/2006/relationships" name="Abo-Finder" sheetId="3" state="visible" r:id="rId3"/>
    <sheet xmlns:r="http://schemas.openxmlformats.org/officeDocument/2006/relationships" name="Anleitung" sheetId="4" state="visible" r:id="rId4"/>
  </sheets>
  <definedNames/>
  <calcPr calcId="124519" fullCalcOnLoad="1"/>
</workbook>
</file>

<file path=xl/styles.xml><?xml version="1.0" encoding="utf-8"?>
<styleSheet xmlns="http://schemas.openxmlformats.org/spreadsheetml/2006/main">
  <numFmts count="1">
    <numFmt numFmtId="164" formatCode="#,##0.00 €"/>
  </numFmts>
  <fonts count="36">
    <font>
      <name val="Calibri"/>
      <family val="2"/>
      <color theme="1"/>
      <sz val="11"/>
      <scheme val="minor"/>
    </font>
    <font>
      <name val="Arial"/>
      <b val="1"/>
      <color rgb="00F0F2F5"/>
      <sz val="20"/>
    </font>
    <font>
      <name val="Arial"/>
      <color rgb="009BA3B5"/>
      <sz val="12"/>
    </font>
    <font>
      <name val="Arial"/>
      <b val="1"/>
      <color rgb="0008090D"/>
      <sz val="11"/>
    </font>
    <font>
      <name val="Arial"/>
      <color rgb="00F0F2F5"/>
      <sz val="11"/>
    </font>
    <font>
      <name val="Arial"/>
      <b val="1"/>
      <color rgb="00FF5C5C"/>
      <sz val="11"/>
    </font>
    <font>
      <name val="Arial"/>
      <b val="1"/>
      <color rgb="00F0F2F5"/>
      <sz val="12"/>
    </font>
    <font>
      <name val="Arial"/>
      <b val="1"/>
      <color rgb="0000E89D"/>
      <sz val="14"/>
    </font>
    <font>
      <name val="Arial"/>
      <color rgb="00FF5C5C"/>
      <sz val="11"/>
    </font>
    <font>
      <name val="Arial"/>
      <b val="1"/>
      <color rgb="00FF5C5C"/>
      <sz val="12"/>
    </font>
    <font>
      <name val="Arial"/>
      <i val="1"/>
      <color rgb="0000E89D"/>
      <sz val="10"/>
    </font>
    <font>
      <name val="Arial"/>
      <b val="1"/>
      <color rgb="0000E89D"/>
      <sz val="26"/>
    </font>
    <font>
      <name val="Arial"/>
      <color rgb="009BA3B5"/>
      <sz val="10"/>
    </font>
    <font>
      <name val="Arial"/>
      <b val="1"/>
      <color rgb="0000E89D"/>
      <sz val="28"/>
    </font>
    <font>
      <name val="Arial"/>
      <b val="1"/>
      <color rgb="004DA6FF"/>
      <sz val="28"/>
    </font>
    <font>
      <name val="Arial"/>
      <b val="1"/>
      <color rgb="00FF5C5C"/>
      <sz val="28"/>
    </font>
    <font>
      <name val="Arial"/>
      <b val="1"/>
      <color rgb="00FF9F43"/>
      <sz val="28"/>
    </font>
    <font>
      <name val="Arial"/>
      <b val="1"/>
      <color rgb="005A6178"/>
      <sz val="10"/>
    </font>
    <font>
      <name val="Arial"/>
      <color rgb="005A6178"/>
      <sz val="10"/>
    </font>
    <font>
      <name val="Arial"/>
      <b val="1"/>
      <color rgb="00F0F2F5"/>
      <sz val="14"/>
    </font>
    <font>
      <name val="Arial"/>
      <color rgb="0000E89D"/>
      <sz val="10"/>
    </font>
    <font>
      <name val="Arial"/>
      <b val="1"/>
      <color rgb="0000E89D"/>
      <sz val="22"/>
    </font>
    <font>
      <name val="Arial"/>
      <color rgb="00FF5C5C"/>
      <sz val="10"/>
    </font>
    <font>
      <name val="Arial"/>
      <b val="1"/>
      <color rgb="00FF5C5C"/>
      <sz val="22"/>
    </font>
    <font>
      <name val="Arial"/>
      <b val="1"/>
      <color rgb="005A6178"/>
      <sz val="22"/>
    </font>
    <font>
      <name val="Arial"/>
      <color rgb="004DA6FF"/>
      <sz val="10"/>
    </font>
    <font>
      <name val="Arial"/>
      <b val="1"/>
      <color rgb="004DA6FF"/>
      <sz val="22"/>
    </font>
    <font>
      <name val="Arial"/>
      <b val="1"/>
      <color rgb="0000E89D"/>
      <sz val="11"/>
    </font>
    <font>
      <name val="Arial"/>
      <color rgb="009BA3B5"/>
      <sz val="11"/>
    </font>
    <font>
      <name val="Arial"/>
      <b val="1"/>
      <color rgb="004DA6FF"/>
      <sz val="16"/>
    </font>
    <font>
      <name val="Arial"/>
      <b val="1"/>
      <color rgb="0000E89D"/>
      <sz val="16"/>
    </font>
    <font>
      <name val="Arial"/>
      <b val="1"/>
      <color rgb="0000E89D"/>
      <sz val="24"/>
    </font>
    <font>
      <name val="Arial"/>
      <b val="1"/>
      <color rgb="00F0F2F5"/>
      <sz val="16"/>
    </font>
    <font>
      <name val="Arial"/>
      <b val="1"/>
      <color rgb="0000E89D"/>
      <sz val="13"/>
    </font>
    <font>
      <name val="Arial"/>
      <b val="1"/>
      <color rgb="0000E89D"/>
      <sz val="12"/>
    </font>
    <font>
      <name val="Arial"/>
      <b val="1"/>
      <color rgb="00FF9F43"/>
      <sz val="12"/>
    </font>
  </fonts>
  <fills count="9">
    <fill>
      <patternFill/>
    </fill>
    <fill>
      <patternFill patternType="gray125"/>
    </fill>
    <fill>
      <patternFill patternType="solid">
        <fgColor rgb="0008090D"/>
      </patternFill>
    </fill>
    <fill>
      <patternFill patternType="solid">
        <fgColor rgb="0000E89D"/>
      </patternFill>
    </fill>
    <fill>
      <patternFill patternType="solid">
        <fgColor rgb="00111318"/>
      </patternFill>
    </fill>
    <fill>
      <patternFill patternType="solid">
        <fgColor rgb="002D1111"/>
      </patternFill>
    </fill>
    <fill>
      <patternFill patternType="solid">
        <fgColor rgb="000D1F18"/>
      </patternFill>
    </fill>
    <fill>
      <patternFill patternType="solid">
        <fgColor rgb="004DA6FF"/>
      </patternFill>
    </fill>
    <fill>
      <patternFill patternType="solid">
        <fgColor rgb="001A1D27"/>
      </patternFill>
    </fill>
  </fills>
  <borders count="15">
    <border>
      <left/>
      <right/>
      <top/>
      <bottom/>
      <diagonal/>
    </border>
    <border>
      <left style="thin">
        <color rgb="002A2E3F"/>
      </left>
      <right style="thin">
        <color rgb="002A2E3F"/>
      </right>
      <top style="thin">
        <color rgb="002A2E3F"/>
      </top>
      <bottom style="thin">
        <color rgb="002A2E3F"/>
      </bottom>
    </border>
    <border>
      <bottom style="double">
        <color rgb="0000E89D"/>
      </bottom>
    </border>
    <border>
      <left style="thin">
        <color rgb="0000E89D"/>
      </left>
      <right style="thin">
        <color rgb="0000E89D"/>
      </right>
      <top style="thin">
        <color rgb="0000E89D"/>
      </top>
      <bottom style="thin">
        <color rgb="0000E89D"/>
      </bottom>
    </border>
    <border>
      <left style="thin">
        <color rgb="002A2E3F"/>
      </left>
      <right style="thin">
        <color rgb="002A2E3F"/>
      </right>
      <top style="thin">
        <color rgb="002A2E3F"/>
      </top>
    </border>
    <border>
      <left style="thin">
        <color rgb="002A2E3F"/>
      </left>
      <right style="thin">
        <color rgb="002A2E3F"/>
      </right>
    </border>
    <border>
      <left style="thin">
        <color rgb="002A2E3F"/>
      </left>
      <right style="thin">
        <color rgb="002A2E3F"/>
      </right>
      <bottom style="thin">
        <color rgb="002A2E3F"/>
      </bottom>
    </border>
    <border>
      <left/>
      <right/>
      <top style="thin">
        <color rgb="0000E89D"/>
      </top>
      <bottom/>
      <diagonal/>
    </border>
    <border>
      <left/>
      <right style="thin">
        <color rgb="0000E89D"/>
      </right>
      <top style="thin">
        <color rgb="0000E89D"/>
      </top>
      <bottom/>
      <diagonal/>
    </border>
    <border>
      <left/>
      <right/>
      <top style="thin">
        <color rgb="0000E89D"/>
      </top>
      <bottom style="thin">
        <color rgb="0000E89D"/>
      </bottom>
      <diagonal/>
    </border>
    <border>
      <left/>
      <right style="thin">
        <color rgb="0000E89D"/>
      </right>
      <top style="thin">
        <color rgb="0000E89D"/>
      </top>
      <bottom style="thin">
        <color rgb="0000E89D"/>
      </bottom>
      <diagonal/>
    </border>
    <border>
      <left/>
      <right/>
      <top style="thin">
        <color rgb="002A2E3F"/>
      </top>
      <bottom/>
      <diagonal/>
    </border>
    <border>
      <left/>
      <right style="thin">
        <color rgb="002A2E3F"/>
      </right>
      <top style="thin">
        <color rgb="002A2E3F"/>
      </top>
      <bottom/>
      <diagonal/>
    </border>
    <border>
      <left/>
      <right/>
      <top style="thin">
        <color rgb="002A2E3F"/>
      </top>
      <bottom style="thin">
        <color rgb="002A2E3F"/>
      </bottom>
      <diagonal/>
    </border>
    <border>
      <left/>
      <right style="thin">
        <color rgb="002A2E3F"/>
      </right>
      <top style="thin">
        <color rgb="002A2E3F"/>
      </top>
      <bottom style="thin">
        <color rgb="002A2E3F"/>
      </bottom>
      <diagonal/>
    </border>
  </borders>
  <cellStyleXfs count="1">
    <xf numFmtId="0" fontId="0" fillId="0" borderId="0"/>
  </cellStyleXfs>
  <cellXfs count="55">
    <xf numFmtId="0" fontId="0" fillId="0" borderId="0" pivotButton="0" quotePrefix="0" xfId="0"/>
    <xf numFmtId="0" fontId="1" fillId="2" borderId="0" applyAlignment="1" pivotButton="0" quotePrefix="0" xfId="0">
      <alignment horizontal="left" vertical="center"/>
    </xf>
    <xf numFmtId="0" fontId="0" fillId="2" borderId="0" pivotButton="0" quotePrefix="0" xfId="0"/>
    <xf numFmtId="0" fontId="2" fillId="2" borderId="0" applyAlignment="1" pivotButton="0" quotePrefix="0" xfId="0">
      <alignment horizontal="left" vertical="center"/>
    </xf>
    <xf numFmtId="0" fontId="3" fillId="3" borderId="1" applyAlignment="1" pivotButton="0" quotePrefix="0" xfId="0">
      <alignment horizontal="center" vertical="center" wrapText="1"/>
    </xf>
    <xf numFmtId="0" fontId="4" fillId="4" borderId="1" applyAlignment="1" pivotButton="0" quotePrefix="0" xfId="0">
      <alignment horizontal="center" vertical="center"/>
    </xf>
    <xf numFmtId="0" fontId="4" fillId="4" borderId="1" applyAlignment="1" pivotButton="0" quotePrefix="0" xfId="0">
      <alignment horizontal="left" vertical="center"/>
    </xf>
    <xf numFmtId="164" fontId="4" fillId="4" borderId="1" applyAlignment="1" pivotButton="0" quotePrefix="0" xfId="0">
      <alignment horizontal="center" vertical="center"/>
    </xf>
    <xf numFmtId="0" fontId="5" fillId="5" borderId="1" applyAlignment="1" pivotButton="0" quotePrefix="0" xfId="0">
      <alignment horizontal="center" vertical="center"/>
    </xf>
    <xf numFmtId="0" fontId="6" fillId="2" borderId="0" applyAlignment="1" pivotButton="0" quotePrefix="0" xfId="0">
      <alignment horizontal="right" vertical="center"/>
    </xf>
    <xf numFmtId="164" fontId="7" fillId="2" borderId="2" applyAlignment="1" pivotButton="0" quotePrefix="0" xfId="0">
      <alignment horizontal="center" vertical="center"/>
    </xf>
    <xf numFmtId="0" fontId="8" fillId="2" borderId="0" applyAlignment="1" pivotButton="0" quotePrefix="0" xfId="0">
      <alignment horizontal="right" vertical="center"/>
    </xf>
    <xf numFmtId="164" fontId="9" fillId="2" borderId="0" applyAlignment="1" pivotButton="0" quotePrefix="0" xfId="0">
      <alignment horizontal="center" vertical="center"/>
    </xf>
    <xf numFmtId="0" fontId="10" fillId="6" borderId="3" applyAlignment="1" pivotButton="0" quotePrefix="0" xfId="0">
      <alignment horizontal="center" vertical="center"/>
    </xf>
    <xf numFmtId="0" fontId="2" fillId="2" borderId="0" pivotButton="0" quotePrefix="0" xfId="0"/>
    <xf numFmtId="0" fontId="10" fillId="6" borderId="3" applyAlignment="1" pivotButton="0" quotePrefix="0" xfId="0">
      <alignment horizontal="left" vertical="center"/>
    </xf>
    <xf numFmtId="0" fontId="3" fillId="7" borderId="1" applyAlignment="1" pivotButton="0" quotePrefix="0" xfId="0">
      <alignment horizontal="center" vertical="center" wrapText="1"/>
    </xf>
    <xf numFmtId="0" fontId="27" fillId="8" borderId="1" applyAlignment="1" pivotButton="0" quotePrefix="0" xfId="0">
      <alignment horizontal="left" vertical="center"/>
    </xf>
    <xf numFmtId="0" fontId="0" fillId="8" borderId="1" pivotButton="0" quotePrefix="0" xfId="0"/>
    <xf numFmtId="0" fontId="0" fillId="4" borderId="1" pivotButton="0" quotePrefix="0" xfId="0"/>
    <xf numFmtId="0" fontId="28" fillId="4" borderId="1" applyAlignment="1" pivotButton="0" quotePrefix="0" xfId="0">
      <alignment horizontal="center" vertical="center"/>
    </xf>
    <xf numFmtId="0" fontId="29" fillId="2" borderId="0" applyAlignment="1" pivotButton="0" quotePrefix="0" xfId="0">
      <alignment horizontal="center" vertical="center"/>
    </xf>
    <xf numFmtId="164" fontId="30" fillId="2" borderId="0" applyAlignment="1" pivotButton="0" quotePrefix="0" xfId="0">
      <alignment horizontal="center" vertical="center"/>
    </xf>
    <xf numFmtId="0" fontId="27" fillId="2" borderId="0" applyAlignment="1" pivotButton="0" quotePrefix="0" xfId="0">
      <alignment horizontal="center" vertical="center"/>
    </xf>
    <xf numFmtId="0" fontId="11" fillId="2" borderId="0" applyAlignment="1" pivotButton="0" quotePrefix="0" xfId="0">
      <alignment horizontal="left" vertical="center"/>
    </xf>
    <xf numFmtId="0" fontId="12" fillId="4" borderId="4" applyAlignment="1" pivotButton="0" quotePrefix="0" xfId="0">
      <alignment horizontal="center" vertical="center"/>
    </xf>
    <xf numFmtId="164" fontId="13" fillId="4" borderId="5" applyAlignment="1" pivotButton="0" quotePrefix="0" xfId="0">
      <alignment horizontal="center" vertical="center"/>
    </xf>
    <xf numFmtId="1" fontId="14" fillId="4" borderId="5" applyAlignment="1" pivotButton="0" quotePrefix="0" xfId="0">
      <alignment horizontal="center" vertical="center"/>
    </xf>
    <xf numFmtId="164" fontId="15" fillId="4" borderId="5" applyAlignment="1" pivotButton="0" quotePrefix="0" xfId="0">
      <alignment horizontal="center" vertical="center"/>
    </xf>
    <xf numFmtId="164" fontId="16" fillId="4" borderId="5" applyAlignment="1" pivotButton="0" quotePrefix="0" xfId="0">
      <alignment horizontal="center" vertical="center"/>
    </xf>
    <xf numFmtId="0" fontId="0" fillId="4" borderId="6" pivotButton="0" quotePrefix="0" xfId="0"/>
    <xf numFmtId="0" fontId="19" fillId="2" borderId="0" pivotButton="0" quotePrefix="0" xfId="0"/>
    <xf numFmtId="0" fontId="17" fillId="2" borderId="0" pivotButton="0" quotePrefix="0" xfId="0"/>
    <xf numFmtId="0" fontId="18" fillId="2" borderId="0" pivotButton="0" quotePrefix="0" xfId="0"/>
    <xf numFmtId="4" fontId="18" fillId="2" borderId="0" pivotButton="0" quotePrefix="0" xfId="0"/>
    <xf numFmtId="0" fontId="20" fillId="4" borderId="4" applyAlignment="1" pivotButton="0" quotePrefix="0" xfId="0">
      <alignment horizontal="center" vertical="center"/>
    </xf>
    <xf numFmtId="0" fontId="22" fillId="4" borderId="4" applyAlignment="1" pivotButton="0" quotePrefix="0" xfId="0">
      <alignment horizontal="center" vertical="center"/>
    </xf>
    <xf numFmtId="0" fontId="18" fillId="4" borderId="4" applyAlignment="1" pivotButton="0" quotePrefix="0" xfId="0">
      <alignment horizontal="center" vertical="center"/>
    </xf>
    <xf numFmtId="0" fontId="25" fillId="4" borderId="4" applyAlignment="1" pivotButton="0" quotePrefix="0" xfId="0">
      <alignment horizontal="center" vertical="center"/>
    </xf>
    <xf numFmtId="0" fontId="21" fillId="4" borderId="5" applyAlignment="1" pivotButton="0" quotePrefix="0" xfId="0">
      <alignment horizontal="center" vertical="center"/>
    </xf>
    <xf numFmtId="0" fontId="23" fillId="4" borderId="5" applyAlignment="1" pivotButton="0" quotePrefix="0" xfId="0">
      <alignment horizontal="center" vertical="center"/>
    </xf>
    <xf numFmtId="0" fontId="24" fillId="4" borderId="5" applyAlignment="1" pivotButton="0" quotePrefix="0" xfId="0">
      <alignment horizontal="center" vertical="center"/>
    </xf>
    <xf numFmtId="0" fontId="26" fillId="4" borderId="5" applyAlignment="1" pivotButton="0" quotePrefix="0" xfId="0">
      <alignment horizontal="center" vertical="center"/>
    </xf>
    <xf numFmtId="0" fontId="10" fillId="2" borderId="0" applyAlignment="1" pivotButton="0" quotePrefix="0" xfId="0">
      <alignment horizontal="center" vertical="center"/>
    </xf>
    <xf numFmtId="0" fontId="31" fillId="2" borderId="0" applyAlignment="1" pivotButton="0" quotePrefix="0" xfId="0">
      <alignment horizontal="left" vertical="center"/>
    </xf>
    <xf numFmtId="0" fontId="4" fillId="2" borderId="0" applyAlignment="1" pivotButton="0" quotePrefix="0" xfId="0">
      <alignment horizontal="left" vertical="top" wrapText="1"/>
    </xf>
    <xf numFmtId="0" fontId="32" fillId="2" borderId="0" applyAlignment="1" pivotButton="0" quotePrefix="0" xfId="0">
      <alignment horizontal="left" vertical="top" wrapText="1"/>
    </xf>
    <xf numFmtId="0" fontId="33" fillId="2" borderId="0" applyAlignment="1" pivotButton="0" quotePrefix="0" xfId="0">
      <alignment horizontal="left" vertical="top" wrapText="1"/>
    </xf>
    <xf numFmtId="0" fontId="34" fillId="2" borderId="0" applyAlignment="1" pivotButton="0" quotePrefix="0" xfId="0">
      <alignment horizontal="left" vertical="top" wrapText="1"/>
    </xf>
    <xf numFmtId="0" fontId="35" fillId="2" borderId="0" applyAlignment="1" pivotButton="0" quotePrefix="0" xfId="0">
      <alignment horizontal="left" vertical="top" wrapText="1"/>
    </xf>
    <xf numFmtId="0" fontId="18" fillId="2" borderId="0" applyAlignment="1" pivotButton="0" quotePrefix="0" xfId="0">
      <alignment horizontal="left" vertical="top" wrapText="1"/>
    </xf>
    <xf numFmtId="0" fontId="0" fillId="0" borderId="9" pivotButton="0" quotePrefix="0" xfId="0"/>
    <xf numFmtId="0" fontId="0" fillId="0" borderId="10" pivotButton="0" quotePrefix="0" xfId="0"/>
    <xf numFmtId="0" fontId="0" fillId="0" borderId="13" pivotButton="0" quotePrefix="0" xfId="0"/>
    <xf numFmtId="0" fontId="0" fillId="0" borderId="14"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chart>
    <plotArea>
      <pieChart>
        <varyColors val="1"/>
        <ser>
          <idx val="0"/>
          <order val="0"/>
          <tx>
            <strRef>
              <f>'Dashboard'!H8</f>
            </strRef>
          </tx>
          <spPr>
            <a:ln xmlns:a="http://schemas.openxmlformats.org/drawingml/2006/main">
              <a:prstDash val="solid"/>
            </a:ln>
          </spPr>
          <dPt>
            <idx val="0"/>
            <spPr>
              <a:solidFill xmlns:a="http://schemas.openxmlformats.org/drawingml/2006/main">
                <a:srgbClr val="4DA6FF"/>
              </a:solidFill>
              <a:ln xmlns:a="http://schemas.openxmlformats.org/drawingml/2006/main">
                <a:prstDash val="solid"/>
              </a:ln>
            </spPr>
          </dPt>
          <dPt>
            <idx val="1"/>
            <spPr>
              <a:solidFill xmlns:a="http://schemas.openxmlformats.org/drawingml/2006/main">
                <a:srgbClr val="00E89D"/>
              </a:solidFill>
              <a:ln xmlns:a="http://schemas.openxmlformats.org/drawingml/2006/main">
                <a:prstDash val="solid"/>
              </a:ln>
            </spPr>
          </dPt>
          <dPt>
            <idx val="2"/>
            <spPr>
              <a:solidFill xmlns:a="http://schemas.openxmlformats.org/drawingml/2006/main">
                <a:srgbClr val="FF5C5C"/>
              </a:solidFill>
              <a:ln xmlns:a="http://schemas.openxmlformats.org/drawingml/2006/main">
                <a:prstDash val="solid"/>
              </a:ln>
            </spPr>
          </dPt>
          <dPt>
            <idx val="3"/>
            <spPr>
              <a:solidFill xmlns:a="http://schemas.openxmlformats.org/drawingml/2006/main">
                <a:srgbClr val="FF9F43"/>
              </a:solidFill>
              <a:ln xmlns:a="http://schemas.openxmlformats.org/drawingml/2006/main">
                <a:prstDash val="solid"/>
              </a:ln>
            </spPr>
          </dPt>
          <dPt>
            <idx val="4"/>
            <spPr>
              <a:solidFill xmlns:a="http://schemas.openxmlformats.org/drawingml/2006/main">
                <a:srgbClr val="9B59B6"/>
              </a:solidFill>
              <a:ln xmlns:a="http://schemas.openxmlformats.org/drawingml/2006/main">
                <a:prstDash val="solid"/>
              </a:ln>
            </spPr>
          </dPt>
          <dPt>
            <idx val="5"/>
            <spPr>
              <a:solidFill xmlns:a="http://schemas.openxmlformats.org/drawingml/2006/main">
                <a:srgbClr val="F39C12"/>
              </a:solidFill>
              <a:ln xmlns:a="http://schemas.openxmlformats.org/drawingml/2006/main">
                <a:prstDash val="solid"/>
              </a:ln>
            </spPr>
          </dPt>
          <dPt>
            <idx val="6"/>
            <spPr>
              <a:solidFill xmlns:a="http://schemas.openxmlformats.org/drawingml/2006/main">
                <a:srgbClr val="1ABC9C"/>
              </a:solidFill>
              <a:ln xmlns:a="http://schemas.openxmlformats.org/drawingml/2006/main">
                <a:prstDash val="solid"/>
              </a:ln>
            </spPr>
          </dPt>
          <dPt>
            <idx val="7"/>
            <spPr>
              <a:solidFill xmlns:a="http://schemas.openxmlformats.org/drawingml/2006/main">
                <a:srgbClr val="E74C3C"/>
              </a:solidFill>
              <a:ln xmlns:a="http://schemas.openxmlformats.org/drawingml/2006/main">
                <a:prstDash val="solid"/>
              </a:ln>
            </spPr>
          </dPt>
          <cat>
            <numRef>
              <f>'Dashboard'!$G$9:$G$16</f>
            </numRef>
          </cat>
          <val>
            <numRef>
              <f>'Dashboard'!$H$9:$H$16</f>
            </numRef>
          </val>
        </ser>
        <dLbls>
          <showVal val="0"/>
          <showCatName val="1"/>
          <showPercent val="1"/>
        </dLbls>
        <firstSliceAng val="0"/>
      </pieChart>
    </plotArea>
    <legend>
      <legendPos val="r"/>
    </legend>
    <plotVisOnly val="1"/>
    <dispBlanksAs val="gap"/>
  </chart>
</chartSpace>
</file>

<file path=xl/charts/chart2.xml><?xml version="1.0" encoding="utf-8"?>
<chartSpace xmlns="http://schemas.openxmlformats.org/drawingml/2006/chart">
  <chart>
    <plotArea>
      <barChart>
        <barDir val="col"/>
        <grouping val="clustered"/>
        <ser>
          <idx val="0"/>
          <order val="0"/>
          <tx>
            <strRef>
              <f>'Dashboard'!H18</f>
            </strRef>
          </tx>
          <spPr>
            <a:solidFill xmlns:a="http://schemas.openxmlformats.org/drawingml/2006/main">
              <a:srgbClr val="00E89D"/>
            </a:solidFill>
            <a:ln xmlns:a="http://schemas.openxmlformats.org/drawingml/2006/main">
              <a:prstDash val="solid"/>
            </a:ln>
          </spPr>
          <cat>
            <numRef>
              <f>'Dashboard'!$G$19:$G$23</f>
            </numRef>
          </cat>
          <val>
            <numRef>
              <f>'Dashboard'!$H$19:$H$23</f>
            </numRef>
          </val>
        </ser>
        <dLbls>
          <numFmt formatCode="#,##0.00 €"/>
          <showVal val="1"/>
        </dLbls>
        <gapWidth val="150"/>
        <axId val="10"/>
        <axId val="100"/>
      </barChart>
      <catAx>
        <axId val="10"/>
        <scaling>
          <orientation val="minMax"/>
        </scaling>
        <axPos val="l"/>
        <majorTickMark val="none"/>
        <minorTickMark val="none"/>
        <crossAx val="100"/>
        <lblOffset val="100"/>
      </catAx>
      <valAx>
        <axId val="100"/>
        <scaling>
          <orientation val="minMax"/>
        </scaling>
        <axPos val="l"/>
        <majorGridlines/>
        <numFmt formatCode="#,##0.00 €" sourceLinked="0"/>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col>
      <colOff>0</colOff>
      <row>8</row>
      <rowOff>0</rowOff>
    </from>
    <ext cx="7200000" cy="50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3</col>
      <colOff>0</colOff>
      <row>8</row>
      <rowOff>0</rowOff>
    </from>
    <ext cx="7200000" cy="50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00E89D"/>
    <outlinePr summaryBelow="1" summaryRight="1"/>
    <pageSetUpPr/>
  </sheetPr>
  <dimension ref="A1:H32"/>
  <sheetViews>
    <sheetView workbookViewId="0">
      <selection activeCell="A1" sqref="A1"/>
    </sheetView>
  </sheetViews>
  <sheetFormatPr baseColWidth="8" defaultRowHeight="15"/>
  <cols>
    <col width="3" customWidth="1" min="1" max="1"/>
    <col width="22" customWidth="1" min="2" max="2"/>
    <col width="22" customWidth="1" min="3" max="3"/>
    <col width="22" customWidth="1" min="4" max="4"/>
    <col width="22" customWidth="1" min="5" max="5"/>
    <col width="3" customWidth="1" min="6" max="6"/>
    <col width="22" customWidth="1" min="7" max="7"/>
    <col width="22" customWidth="1" min="8" max="8"/>
  </cols>
  <sheetData>
    <row r="1" ht="45" customHeight="1">
      <c r="A1" s="2" t="n"/>
      <c r="B1" s="24" t="inlineStr">
        <is>
          <t>AboRadar</t>
        </is>
      </c>
      <c r="F1" s="2" t="n"/>
      <c r="G1" s="2" t="n"/>
      <c r="H1" s="2" t="n"/>
    </row>
    <row r="2" ht="25" customHeight="1">
      <c r="A2" s="2" t="n"/>
      <c r="B2" s="3" t="inlineStr">
        <is>
          <t>Dein Abo-Dashboard – Alles auf einen Blick</t>
        </is>
      </c>
      <c r="F2" s="2" t="n"/>
      <c r="G2" s="2" t="n"/>
      <c r="H2" s="2" t="n"/>
    </row>
    <row r="3" ht="10" customHeight="1">
      <c r="A3" s="2" t="n"/>
      <c r="B3" s="2" t="n"/>
      <c r="C3" s="2" t="n"/>
      <c r="D3" s="2" t="n"/>
      <c r="E3" s="2" t="n"/>
      <c r="F3" s="2" t="n"/>
      <c r="G3" s="2" t="n"/>
      <c r="H3" s="2" t="n"/>
    </row>
    <row r="4" ht="18" customHeight="1">
      <c r="A4" s="2" t="n"/>
      <c r="B4" s="25" t="inlineStr">
        <is>
          <t>Monatliche Kosten</t>
        </is>
      </c>
      <c r="C4" s="25" t="inlineStr">
        <is>
          <t>Aktive Abos</t>
        </is>
      </c>
      <c r="D4" s="25" t="inlineStr">
        <is>
          <t>Verschwendet/Monat</t>
        </is>
      </c>
      <c r="E4" s="25" t="inlineStr">
        <is>
          <t>Verschwendet/Jahr</t>
        </is>
      </c>
      <c r="F4" s="2" t="n"/>
      <c r="G4" s="2" t="n"/>
      <c r="H4" s="2" t="n"/>
    </row>
    <row r="5" ht="50" customHeight="1">
      <c r="A5" s="2" t="n"/>
      <c r="B5" s="26">
        <f>'Abo-Tracker'!D12</f>
        <v/>
      </c>
      <c r="C5" s="27">
        <f>COUNTIF('Abo-Tracker'!F5:F9,"Aktiv")</f>
        <v/>
      </c>
      <c r="D5" s="28">
        <f>'Abo-Tracker'!D13</f>
        <v/>
      </c>
      <c r="E5" s="29">
        <f>'Abo-Tracker'!D14</f>
        <v/>
      </c>
      <c r="F5" s="2" t="n"/>
      <c r="G5" s="2" t="n"/>
      <c r="H5" s="2" t="n"/>
    </row>
    <row r="6" ht="22" customHeight="1">
      <c r="A6" s="2" t="n"/>
      <c r="B6" s="30" t="n"/>
      <c r="C6" s="30" t="n"/>
      <c r="D6" s="30" t="n"/>
      <c r="E6" s="30" t="n"/>
      <c r="F6" s="2" t="n"/>
      <c r="G6" s="2" t="n"/>
      <c r="H6" s="2" t="n"/>
    </row>
    <row r="7" ht="15" customHeight="1">
      <c r="A7" s="2" t="n"/>
      <c r="B7" s="2" t="n"/>
      <c r="C7" s="2" t="n"/>
      <c r="D7" s="2" t="n"/>
      <c r="E7" s="2" t="n"/>
      <c r="F7" s="2" t="n"/>
      <c r="G7" s="2" t="n"/>
      <c r="H7" s="2" t="n"/>
    </row>
    <row r="8" ht="30" customHeight="1">
      <c r="A8" s="2" t="n"/>
      <c r="B8" s="31" t="inlineStr">
        <is>
          <t>Kosten nach Kategorie</t>
        </is>
      </c>
      <c r="D8" s="31" t="inlineStr">
        <is>
          <t>Deine Top-Abos</t>
        </is>
      </c>
      <c r="F8" s="2" t="n"/>
      <c r="G8" s="32" t="inlineStr">
        <is>
          <t>Kategorie</t>
        </is>
      </c>
      <c r="H8" s="32" t="inlineStr">
        <is>
          <t>Kosten</t>
        </is>
      </c>
    </row>
    <row r="9">
      <c r="A9" s="2" t="n"/>
      <c r="B9" s="2" t="n"/>
      <c r="C9" s="2" t="n"/>
      <c r="D9" s="2" t="n"/>
      <c r="E9" s="2" t="n"/>
      <c r="F9" s="2" t="n"/>
      <c r="G9" s="33" t="inlineStr">
        <is>
          <t>Streaming</t>
        </is>
      </c>
      <c r="H9" s="34">
        <f>SUMIF('Abo-Tracker'!C5:C9,G9,'Abo-Tracker'!D5:D9)</f>
        <v/>
      </c>
    </row>
    <row r="10">
      <c r="A10" s="2" t="n"/>
      <c r="B10" s="2" t="n"/>
      <c r="C10" s="2" t="n"/>
      <c r="D10" s="2" t="n"/>
      <c r="E10" s="2" t="n"/>
      <c r="F10" s="2" t="n"/>
      <c r="G10" s="33" t="inlineStr">
        <is>
          <t>Software</t>
        </is>
      </c>
      <c r="H10" s="34">
        <f>SUMIF('Abo-Tracker'!C5:C9,G10,'Abo-Tracker'!D5:D9)</f>
        <v/>
      </c>
    </row>
    <row r="11">
      <c r="A11" s="2" t="n"/>
      <c r="B11" s="2" t="n"/>
      <c r="C11" s="2" t="n"/>
      <c r="D11" s="2" t="n"/>
      <c r="E11" s="2" t="n"/>
      <c r="F11" s="2" t="n"/>
      <c r="G11" s="33" t="inlineStr">
        <is>
          <t>Fitness</t>
        </is>
      </c>
      <c r="H11" s="34">
        <f>SUMIF('Abo-Tracker'!C5:C9,G11,'Abo-Tracker'!D5:D9)</f>
        <v/>
      </c>
    </row>
    <row r="12">
      <c r="A12" s="2" t="n"/>
      <c r="B12" s="2" t="n"/>
      <c r="C12" s="2" t="n"/>
      <c r="D12" s="2" t="n"/>
      <c r="E12" s="2" t="n"/>
      <c r="F12" s="2" t="n"/>
      <c r="G12" s="33" t="inlineStr">
        <is>
          <t>Cloud</t>
        </is>
      </c>
      <c r="H12" s="34">
        <f>SUMIF('Abo-Tracker'!C5:C9,G12,'Abo-Tracker'!D5:D9)</f>
        <v/>
      </c>
    </row>
    <row r="13">
      <c r="A13" s="2" t="n"/>
      <c r="B13" s="2" t="n"/>
      <c r="C13" s="2" t="n"/>
      <c r="D13" s="2" t="n"/>
      <c r="E13" s="2" t="n"/>
      <c r="F13" s="2" t="n"/>
      <c r="G13" s="33" t="inlineStr">
        <is>
          <t>News</t>
        </is>
      </c>
      <c r="H13" s="34">
        <f>SUMIF('Abo-Tracker'!C5:C9,G13,'Abo-Tracker'!D5:D9)</f>
        <v/>
      </c>
    </row>
    <row r="14">
      <c r="A14" s="2" t="n"/>
      <c r="B14" s="2" t="n"/>
      <c r="C14" s="2" t="n"/>
      <c r="D14" s="2" t="n"/>
      <c r="E14" s="2" t="n"/>
      <c r="F14" s="2" t="n"/>
      <c r="G14" s="33" t="inlineStr">
        <is>
          <t>Gaming</t>
        </is>
      </c>
      <c r="H14" s="34">
        <f>SUMIF('Abo-Tracker'!C5:C9,G14,'Abo-Tracker'!D5:D9)</f>
        <v/>
      </c>
    </row>
    <row r="15">
      <c r="A15" s="2" t="n"/>
      <c r="B15" s="2" t="n"/>
      <c r="C15" s="2" t="n"/>
      <c r="D15" s="2" t="n"/>
      <c r="E15" s="2" t="n"/>
      <c r="F15" s="2" t="n"/>
      <c r="G15" s="33" t="inlineStr">
        <is>
          <t>Lieferdienste</t>
        </is>
      </c>
      <c r="H15" s="34">
        <f>SUMIF('Abo-Tracker'!C5:C9,G15,'Abo-Tracker'!D5:D9)</f>
        <v/>
      </c>
    </row>
    <row r="16">
      <c r="A16" s="2" t="n"/>
      <c r="B16" s="2" t="n"/>
      <c r="C16" s="2" t="n"/>
      <c r="D16" s="2" t="n"/>
      <c r="E16" s="2" t="n"/>
      <c r="F16" s="2" t="n"/>
      <c r="G16" s="33" t="inlineStr">
        <is>
          <t>Sonstiges</t>
        </is>
      </c>
      <c r="H16" s="34">
        <f>SUMIF('Abo-Tracker'!C5:C9,G16,'Abo-Tracker'!D5:D9)</f>
        <v/>
      </c>
    </row>
    <row r="17">
      <c r="A17" s="2" t="n"/>
      <c r="B17" s="2" t="n"/>
      <c r="C17" s="2" t="n"/>
      <c r="D17" s="2" t="n"/>
      <c r="E17" s="2" t="n"/>
      <c r="F17" s="2" t="n"/>
      <c r="G17" s="2" t="n"/>
      <c r="H17" s="2" t="n"/>
    </row>
    <row r="18">
      <c r="A18" s="2" t="n"/>
      <c r="B18" s="2" t="n"/>
      <c r="C18" s="2" t="n"/>
      <c r="D18" s="2" t="n"/>
      <c r="E18" s="2" t="n"/>
      <c r="F18" s="2" t="n"/>
      <c r="G18" s="32" t="inlineStr">
        <is>
          <t>Abo</t>
        </is>
      </c>
      <c r="H18" s="32" t="inlineStr">
        <is>
          <t>Kosten</t>
        </is>
      </c>
    </row>
    <row r="19">
      <c r="A19" s="2" t="n"/>
      <c r="B19" s="2" t="n"/>
      <c r="C19" s="2" t="n"/>
      <c r="D19" s="2" t="n"/>
      <c r="E19" s="2" t="n"/>
      <c r="F19" s="2" t="n"/>
      <c r="G19" s="33">
        <f>'Abo-Tracker'!B5</f>
        <v/>
      </c>
      <c r="H19" s="34">
        <f>'Abo-Tracker'!D5</f>
        <v/>
      </c>
    </row>
    <row r="20">
      <c r="A20" s="2" t="n"/>
      <c r="B20" s="2" t="n"/>
      <c r="C20" s="2" t="n"/>
      <c r="D20" s="2" t="n"/>
      <c r="E20" s="2" t="n"/>
      <c r="F20" s="2" t="n"/>
      <c r="G20" s="33">
        <f>'Abo-Tracker'!B6</f>
        <v/>
      </c>
      <c r="H20" s="34">
        <f>'Abo-Tracker'!D6</f>
        <v/>
      </c>
    </row>
    <row r="21">
      <c r="A21" s="2" t="n"/>
      <c r="B21" s="2" t="n"/>
      <c r="C21" s="2" t="n"/>
      <c r="D21" s="2" t="n"/>
      <c r="E21" s="2" t="n"/>
      <c r="F21" s="2" t="n"/>
      <c r="G21" s="33">
        <f>'Abo-Tracker'!B7</f>
        <v/>
      </c>
      <c r="H21" s="34">
        <f>'Abo-Tracker'!D7</f>
        <v/>
      </c>
    </row>
    <row r="22">
      <c r="A22" s="2" t="n"/>
      <c r="B22" s="2" t="n"/>
      <c r="C22" s="2" t="n"/>
      <c r="D22" s="2" t="n"/>
      <c r="E22" s="2" t="n"/>
      <c r="F22" s="2" t="n"/>
      <c r="G22" s="33">
        <f>'Abo-Tracker'!B8</f>
        <v/>
      </c>
      <c r="H22" s="34">
        <f>'Abo-Tracker'!D8</f>
        <v/>
      </c>
    </row>
    <row r="23">
      <c r="A23" s="2" t="n"/>
      <c r="B23" s="2" t="n"/>
      <c r="C23" s="2" t="n"/>
      <c r="D23" s="2" t="n"/>
      <c r="E23" s="2" t="n"/>
      <c r="F23" s="2" t="n"/>
      <c r="G23" s="33">
        <f>'Abo-Tracker'!B9</f>
        <v/>
      </c>
      <c r="H23" s="34">
        <f>'Abo-Tracker'!D9</f>
        <v/>
      </c>
    </row>
    <row r="24" ht="15" customHeight="1">
      <c r="A24" s="2" t="n"/>
      <c r="B24" s="2" t="n"/>
      <c r="C24" s="2" t="n"/>
      <c r="D24" s="2" t="n"/>
      <c r="E24" s="2" t="n"/>
      <c r="F24" s="2" t="n"/>
      <c r="G24" s="2" t="n"/>
      <c r="H24" s="2" t="n"/>
    </row>
    <row r="25" ht="30" customHeight="1">
      <c r="A25" s="2" t="n"/>
      <c r="B25" s="31" t="inlineStr">
        <is>
          <t>Abo-Status Übersicht</t>
        </is>
      </c>
      <c r="F25" s="2" t="n"/>
      <c r="G25" s="2" t="n"/>
      <c r="H25" s="2" t="n"/>
    </row>
    <row r="26" ht="20" customHeight="1">
      <c r="A26" s="2" t="n"/>
      <c r="B26" s="35" t="inlineStr">
        <is>
          <t>✅ Aktiv</t>
        </is>
      </c>
      <c r="C26" s="36" t="inlineStr">
        <is>
          <t>⚠️ Ungenutzt</t>
        </is>
      </c>
      <c r="D26" s="37" t="inlineStr">
        <is>
          <t>❌ Gekündigt</t>
        </is>
      </c>
      <c r="E26" s="38" t="inlineStr">
        <is>
          <t>📊 Gesamt</t>
        </is>
      </c>
      <c r="F26" s="2" t="n"/>
      <c r="G26" s="2" t="n"/>
      <c r="H26" s="2" t="n"/>
    </row>
    <row r="27" ht="40" customHeight="1">
      <c r="A27" s="2" t="n"/>
      <c r="B27" s="39">
        <f>COUNTIF('Abo-Tracker'!F5:F9,"Aktiv")</f>
        <v/>
      </c>
      <c r="C27" s="40">
        <f>COUNTIF('Abo-Tracker'!F5:F9,"Ungenutzt")</f>
        <v/>
      </c>
      <c r="D27" s="41">
        <f>COUNTIF('Abo-Tracker'!F5:F9,"Gekündigt")</f>
        <v/>
      </c>
      <c r="E27" s="42">
        <f>COUNTA('Abo-Tracker'!B5:B9)</f>
        <v/>
      </c>
      <c r="F27" s="2" t="n"/>
      <c r="G27" s="2" t="n"/>
      <c r="H27" s="2" t="n"/>
    </row>
    <row r="28" ht="15" customHeight="1">
      <c r="A28" s="2" t="n"/>
      <c r="B28" s="30" t="n"/>
      <c r="C28" s="30" t="n"/>
      <c r="D28" s="30" t="n"/>
      <c r="E28" s="30" t="n"/>
      <c r="F28" s="2" t="n"/>
      <c r="G28" s="2" t="n"/>
      <c r="H28" s="2" t="n"/>
    </row>
    <row r="29">
      <c r="A29" s="2" t="n"/>
      <c r="B29" s="2" t="n"/>
      <c r="C29" s="2" t="n"/>
      <c r="D29" s="2" t="n"/>
      <c r="E29" s="2" t="n"/>
      <c r="F29" s="2" t="n"/>
      <c r="G29" s="2" t="n"/>
      <c r="H29" s="2" t="n"/>
    </row>
    <row r="30" ht="20" customHeight="1">
      <c r="A30" s="2" t="n"/>
      <c r="B30" s="43" t="inlineStr">
        <is>
          <t>AboRadar Freebie – Upgrade auf Pro für unbegrenzte Abos → aboradar.app</t>
        </is>
      </c>
      <c r="F30" s="2" t="n"/>
      <c r="G30" s="2" t="n"/>
      <c r="H30" s="2" t="n"/>
    </row>
    <row r="31">
      <c r="A31" s="2" t="n"/>
      <c r="B31" s="2" t="n"/>
      <c r="C31" s="2" t="n"/>
      <c r="D31" s="2" t="n"/>
      <c r="E31" s="2" t="n"/>
      <c r="F31" s="2" t="n"/>
      <c r="G31" s="2" t="n"/>
      <c r="H31" s="2" t="n"/>
    </row>
    <row r="32">
      <c r="A32" s="2" t="n"/>
      <c r="B32" s="2" t="n"/>
      <c r="C32" s="2" t="n"/>
      <c r="D32" s="2" t="n"/>
      <c r="E32" s="2" t="n"/>
      <c r="F32" s="2" t="n"/>
      <c r="G32" s="2" t="n"/>
      <c r="H32" s="2" t="n"/>
    </row>
  </sheetData>
  <mergeCells count="6">
    <mergeCell ref="D8:E8"/>
    <mergeCell ref="B1:E1"/>
    <mergeCell ref="B30:E30"/>
    <mergeCell ref="B25:E25"/>
    <mergeCell ref="B2:E2"/>
    <mergeCell ref="B8:C8"/>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tabColor rgb="0000E89D"/>
    <outlinePr summaryBelow="1" summaryRight="1"/>
    <pageSetUpPr/>
  </sheetPr>
  <dimension ref="A1:I20"/>
  <sheetViews>
    <sheetView workbookViewId="0">
      <selection activeCell="A1" sqref="A1"/>
    </sheetView>
  </sheetViews>
  <sheetFormatPr baseColWidth="8" defaultRowHeight="15"/>
  <cols>
    <col width="5" customWidth="1" min="1" max="1"/>
    <col width="22" customWidth="1" min="2" max="2"/>
    <col width="18" customWidth="1" min="3" max="3"/>
    <col width="16" customWidth="1" min="4" max="4"/>
    <col width="20" customWidth="1" min="5" max="5"/>
    <col width="14" customWidth="1" min="6" max="6"/>
    <col width="18" customWidth="1" min="7" max="7"/>
    <col width="18" customWidth="1" min="8" max="8"/>
    <col width="25" customWidth="1" min="9" max="9"/>
  </cols>
  <sheetData>
    <row r="1" ht="40" customHeight="1">
      <c r="A1" s="1" t="inlineStr">
        <is>
          <t>📊 AboRadar – Abo-Tracker</t>
        </is>
      </c>
    </row>
    <row r="2" ht="25" customHeight="1">
      <c r="A2" s="3" t="inlineStr">
        <is>
          <t>Trage hier deine Abos ein (max. 5 im Freebie). Alle Felder in den grünen Spalten sind editierbar.</t>
        </is>
      </c>
    </row>
    <row r="3" ht="10" customHeight="1">
      <c r="A3" s="2" t="n"/>
      <c r="B3" s="2" t="n"/>
      <c r="C3" s="2" t="n"/>
      <c r="D3" s="2" t="n"/>
      <c r="E3" s="2" t="n"/>
      <c r="F3" s="2" t="n"/>
      <c r="G3" s="2" t="n"/>
      <c r="H3" s="2" t="n"/>
      <c r="I3" s="2" t="n"/>
    </row>
    <row r="4" ht="30" customHeight="1">
      <c r="A4" s="4" t="inlineStr">
        <is>
          <t>Nr.</t>
        </is>
      </c>
      <c r="B4" s="4" t="inlineStr">
        <is>
          <t>Abo-Name</t>
        </is>
      </c>
      <c r="C4" s="4" t="inlineStr">
        <is>
          <t>Kategorie</t>
        </is>
      </c>
      <c r="D4" s="4" t="inlineStr">
        <is>
          <t>Mtl. Kosten (€)</t>
        </is>
      </c>
      <c r="E4" s="4" t="inlineStr">
        <is>
          <t>Zahlungsintervall</t>
        </is>
      </c>
      <c r="F4" s="4" t="inlineStr">
        <is>
          <t>Status</t>
        </is>
      </c>
      <c r="G4" s="4" t="inlineStr">
        <is>
          <t>Kündigungsfrist</t>
        </is>
      </c>
      <c r="H4" s="4" t="inlineStr">
        <is>
          <t>Nächste Kündigung</t>
        </is>
      </c>
      <c r="I4" s="4" t="inlineStr">
        <is>
          <t>Notizen</t>
        </is>
      </c>
    </row>
    <row r="5" ht="28" customHeight="1">
      <c r="A5" s="5" t="n">
        <v>1</v>
      </c>
      <c r="B5" s="6" t="inlineStr">
        <is>
          <t>Netflix</t>
        </is>
      </c>
      <c r="C5" s="6" t="inlineStr">
        <is>
          <t>Streaming</t>
        </is>
      </c>
      <c r="D5" s="7" t="n">
        <v>12.99</v>
      </c>
      <c r="E5" s="5" t="inlineStr">
        <is>
          <t>Monatlich</t>
        </is>
      </c>
      <c r="F5" s="5" t="inlineStr">
        <is>
          <t>Aktiv</t>
        </is>
      </c>
      <c r="G5" s="6" t="inlineStr">
        <is>
          <t>Jederzeit</t>
        </is>
      </c>
      <c r="H5" s="6" t="inlineStr">
        <is>
          <t>—</t>
        </is>
      </c>
      <c r="I5" s="6" t="inlineStr">
        <is>
          <t>Standard-Abo</t>
        </is>
      </c>
    </row>
    <row r="6" ht="28" customHeight="1">
      <c r="A6" s="5" t="n">
        <v>2</v>
      </c>
      <c r="B6" s="6" t="inlineStr">
        <is>
          <t>Spotify</t>
        </is>
      </c>
      <c r="C6" s="6" t="inlineStr">
        <is>
          <t>Streaming</t>
        </is>
      </c>
      <c r="D6" s="7" t="n">
        <v>9.99</v>
      </c>
      <c r="E6" s="5" t="inlineStr">
        <is>
          <t>Monatlich</t>
        </is>
      </c>
      <c r="F6" s="5" t="inlineStr">
        <is>
          <t>Aktiv</t>
        </is>
      </c>
      <c r="G6" s="6" t="inlineStr">
        <is>
          <t>Jederzeit</t>
        </is>
      </c>
      <c r="H6" s="6" t="inlineStr">
        <is>
          <t>—</t>
        </is>
      </c>
      <c r="I6" s="6" t="inlineStr">
        <is>
          <t>Family Plan</t>
        </is>
      </c>
    </row>
    <row r="7" ht="28" customHeight="1">
      <c r="A7" s="5" t="n">
        <v>3</v>
      </c>
      <c r="B7" s="6" t="inlineStr">
        <is>
          <t>McFit</t>
        </is>
      </c>
      <c r="C7" s="6" t="inlineStr">
        <is>
          <t>Fitness</t>
        </is>
      </c>
      <c r="D7" s="7" t="n">
        <v>24.99</v>
      </c>
      <c r="E7" s="5" t="inlineStr">
        <is>
          <t>Monatlich</t>
        </is>
      </c>
      <c r="F7" s="8" t="inlineStr">
        <is>
          <t>Ungenutzt</t>
        </is>
      </c>
      <c r="G7" s="6" t="inlineStr">
        <is>
          <t>3 Monate</t>
        </is>
      </c>
      <c r="H7" s="6" t="inlineStr">
        <is>
          <t>30.06.2026</t>
        </is>
      </c>
      <c r="I7" s="6" t="inlineStr">
        <is>
          <t>Seit 4 Monaten nicht mehr gewesen!</t>
        </is>
      </c>
    </row>
    <row r="8" ht="28" customHeight="1">
      <c r="A8" s="5" t="n">
        <v>4</v>
      </c>
      <c r="B8" s="6" t="inlineStr">
        <is>
          <t>Adobe Creative Cloud</t>
        </is>
      </c>
      <c r="C8" s="6" t="inlineStr">
        <is>
          <t>Software</t>
        </is>
      </c>
      <c r="D8" s="7" t="n">
        <v>23.79</v>
      </c>
      <c r="E8" s="5" t="inlineStr">
        <is>
          <t>Monatlich</t>
        </is>
      </c>
      <c r="F8" s="5" t="inlineStr">
        <is>
          <t>Aktiv</t>
        </is>
      </c>
      <c r="G8" s="6" t="inlineStr">
        <is>
          <t>14 Tage</t>
        </is>
      </c>
      <c r="H8" s="6" t="inlineStr">
        <is>
          <t>—</t>
        </is>
      </c>
      <c r="I8" s="6" t="inlineStr">
        <is>
          <t>Foto-Abo</t>
        </is>
      </c>
    </row>
    <row r="9" ht="28" customHeight="1">
      <c r="A9" s="5" t="n">
        <v>5</v>
      </c>
      <c r="B9" s="6" t="inlineStr">
        <is>
          <t>iCloud+</t>
        </is>
      </c>
      <c r="C9" s="6" t="inlineStr">
        <is>
          <t>Cloud</t>
        </is>
      </c>
      <c r="D9" s="7" t="n">
        <v>2.99</v>
      </c>
      <c r="E9" s="5" t="inlineStr">
        <is>
          <t>Monatlich</t>
        </is>
      </c>
      <c r="F9" s="5" t="inlineStr">
        <is>
          <t>Aktiv</t>
        </is>
      </c>
      <c r="G9" s="6" t="inlineStr">
        <is>
          <t>Jederzeit</t>
        </is>
      </c>
      <c r="H9" s="6" t="inlineStr">
        <is>
          <t>—</t>
        </is>
      </c>
      <c r="I9" s="6" t="inlineStr">
        <is>
          <t>200 GB</t>
        </is>
      </c>
    </row>
    <row r="10">
      <c r="A10" s="2" t="n"/>
      <c r="B10" s="2" t="n"/>
      <c r="C10" s="2" t="n"/>
      <c r="D10" s="2" t="n"/>
      <c r="E10" s="2" t="n"/>
      <c r="F10" s="2" t="n"/>
      <c r="G10" s="2" t="n"/>
      <c r="H10" s="2" t="n"/>
      <c r="I10" s="2" t="n"/>
    </row>
    <row r="11" ht="10" customHeight="1">
      <c r="A11" s="2" t="n"/>
      <c r="B11" s="2" t="n"/>
      <c r="C11" s="2" t="n"/>
      <c r="D11" s="2" t="n"/>
      <c r="E11" s="2" t="n"/>
      <c r="F11" s="2" t="n"/>
      <c r="G11" s="2" t="n"/>
      <c r="H11" s="2" t="n"/>
      <c r="I11" s="2" t="n"/>
    </row>
    <row r="12" ht="30" customHeight="1">
      <c r="A12" s="2" t="n"/>
      <c r="B12" s="2" t="n"/>
      <c r="C12" s="9" t="inlineStr">
        <is>
          <t>Gesamt monatlich:</t>
        </is>
      </c>
      <c r="D12" s="10">
        <f>SUM(D5:D9)</f>
        <v/>
      </c>
      <c r="E12" s="2" t="n"/>
      <c r="F12" s="2" t="n"/>
      <c r="G12" s="2" t="n"/>
      <c r="H12" s="2" t="n"/>
      <c r="I12" s="2" t="n"/>
    </row>
    <row r="13" ht="25" customHeight="1">
      <c r="A13" s="2" t="n"/>
      <c r="B13" s="2" t="n"/>
      <c r="C13" s="11" t="inlineStr">
        <is>
          <t>Davon ungenutzt:</t>
        </is>
      </c>
      <c r="D13" s="12">
        <f>SUMIF(F5:F9,"Ungenutzt",D5:D9)</f>
        <v/>
      </c>
      <c r="E13" s="2" t="n"/>
      <c r="F13" s="2" t="n"/>
      <c r="G13" s="2" t="n"/>
      <c r="H13" s="2" t="n"/>
      <c r="I13" s="2" t="n"/>
    </row>
    <row r="14" ht="25" customHeight="1">
      <c r="A14" s="2" t="n"/>
      <c r="B14" s="2" t="n"/>
      <c r="C14" s="11" t="inlineStr">
        <is>
          <t>Verschwendung/Jahr:</t>
        </is>
      </c>
      <c r="D14" s="12">
        <f>D13*12</f>
        <v/>
      </c>
      <c r="E14" s="2" t="n"/>
      <c r="F14" s="2" t="n"/>
      <c r="G14" s="2" t="n"/>
      <c r="H14" s="2" t="n"/>
      <c r="I14" s="2" t="n"/>
    </row>
    <row r="15">
      <c r="A15" s="2" t="n"/>
      <c r="B15" s="2" t="n"/>
      <c r="C15" s="2" t="n"/>
      <c r="D15" s="2" t="n"/>
      <c r="E15" s="2" t="n"/>
      <c r="F15" s="2" t="n"/>
      <c r="G15" s="2" t="n"/>
      <c r="H15" s="2" t="n"/>
      <c r="I15" s="2" t="n"/>
    </row>
    <row r="16" ht="10" customHeight="1">
      <c r="A16" s="2" t="n"/>
      <c r="B16" s="2" t="n"/>
      <c r="C16" s="2" t="n"/>
      <c r="D16" s="2" t="n"/>
      <c r="E16" s="2" t="n"/>
      <c r="F16" s="2" t="n"/>
      <c r="G16" s="2" t="n"/>
      <c r="H16" s="2" t="n"/>
      <c r="I16" s="2" t="n"/>
    </row>
    <row r="17">
      <c r="A17" s="13" t="inlineStr">
        <is>
          <t>💡 Du brauchst mehr als 5 Abos? Upgrade auf AboRadar Pro (14,95 € einmalig) → aboradar.app</t>
        </is>
      </c>
      <c r="B17" s="51" t="n"/>
      <c r="C17" s="51" t="n"/>
      <c r="D17" s="51" t="n"/>
      <c r="E17" s="51" t="n"/>
      <c r="F17" s="51" t="n"/>
      <c r="G17" s="51" t="n"/>
      <c r="H17" s="51" t="n"/>
      <c r="I17" s="52" t="n"/>
    </row>
    <row r="18">
      <c r="A18" s="2" t="n"/>
      <c r="B18" s="2" t="n"/>
      <c r="C18" s="2" t="n"/>
      <c r="D18" s="2" t="n"/>
      <c r="E18" s="2" t="n"/>
      <c r="F18" s="2" t="n"/>
      <c r="G18" s="2" t="n"/>
      <c r="H18" s="2" t="n"/>
      <c r="I18" s="2" t="n"/>
    </row>
    <row r="19">
      <c r="A19" s="2" t="n"/>
      <c r="B19" s="2" t="n"/>
      <c r="C19" s="2" t="n"/>
      <c r="D19" s="2" t="n"/>
      <c r="E19" s="2" t="n"/>
      <c r="F19" s="2" t="n"/>
      <c r="G19" s="2" t="n"/>
      <c r="H19" s="2" t="n"/>
      <c r="I19" s="2" t="n"/>
    </row>
    <row r="20">
      <c r="A20" s="2" t="n"/>
      <c r="B20" s="2" t="n"/>
      <c r="C20" s="2" t="n"/>
      <c r="D20" s="2" t="n"/>
      <c r="E20" s="2" t="n"/>
      <c r="F20" s="2" t="n"/>
      <c r="G20" s="2" t="n"/>
      <c r="H20" s="2" t="n"/>
      <c r="I20" s="2" t="n"/>
    </row>
  </sheetData>
  <mergeCells count="3">
    <mergeCell ref="A1:I1"/>
    <mergeCell ref="A17:I17"/>
    <mergeCell ref="A2:I2"/>
  </mergeCells>
  <dataValidations count="3">
    <dataValidation sqref="C5 C6 C7 C8 C9" showDropDown="0" showInputMessage="0" showErrorMessage="0" allowBlank="1" error="Bitte eine Kategorie auswählen" prompt="Kategorie wählen" type="list">
      <formula1>"Streaming,Software,Fitness,Cloud,News,Gaming,Lieferdienste,Sonstiges"</formula1>
    </dataValidation>
    <dataValidation sqref="E5 E6 E7 E8 E9" showDropDown="0" showInputMessage="0" showErrorMessage="0" allowBlank="1" type="list">
      <formula1>"Monatlich,Quartalsweise,Halbjährlich,Jährlich"</formula1>
    </dataValidation>
    <dataValidation sqref="F5 F6 F7 F8 F9" showDropDown="0" showInputMessage="0" showErrorMessage="0" allowBlank="1" type="list">
      <formula1>"Aktiv,Ungenutzt,Gekündigt"</formula1>
    </dataValidation>
  </dataValidations>
  <pageMargins left="0.75" right="0.75" top="1" bottom="1" header="0.5" footer="0.5"/>
</worksheet>
</file>

<file path=xl/worksheets/sheet3.xml><?xml version="1.0" encoding="utf-8"?>
<worksheet xmlns="http://schemas.openxmlformats.org/spreadsheetml/2006/main">
  <sheetPr>
    <tabColor rgb="004DA6FF"/>
    <outlinePr summaryBelow="1" summaryRight="1"/>
    <pageSetUpPr/>
  </sheetPr>
  <dimension ref="A1:F87"/>
  <sheetViews>
    <sheetView workbookViewId="0">
      <selection activeCell="A1" sqref="A1"/>
    </sheetView>
  </sheetViews>
  <sheetFormatPr baseColWidth="8" defaultRowHeight="15"/>
  <cols>
    <col width="3" customWidth="1" min="1" max="1"/>
    <col width="20" customWidth="1" min="2" max="2"/>
    <col width="30" customWidth="1" min="3" max="3"/>
    <col width="14" customWidth="1" min="4" max="4"/>
    <col width="16" customWidth="1" min="5" max="5"/>
    <col width="3" customWidth="1" min="6" max="6"/>
  </cols>
  <sheetData>
    <row r="1" ht="40" customHeight="1">
      <c r="A1" s="2" t="n"/>
      <c r="B1" s="1" t="inlineStr">
        <is>
          <t>🔍 Abo-Finder – Checkliste</t>
        </is>
      </c>
      <c r="F1" s="2" t="n"/>
    </row>
    <row r="2" ht="25" customHeight="1">
      <c r="A2" s="2" t="n"/>
      <c r="B2" s="14" t="inlineStr">
        <is>
          <t>Geh die Liste durch und markiere alle Dienste, die du abonniert hast.</t>
        </is>
      </c>
      <c r="F2" s="2" t="n"/>
    </row>
    <row r="3" ht="28" customHeight="1">
      <c r="A3" s="2" t="n"/>
      <c r="B3" s="15" t="inlineStr">
        <is>
          <t>💡 Vorher: 1) Kontoauszüge checken  2) E-Mail nach 'Rechnung' durchsuchen  3) App-Store Abos prüfen</t>
        </is>
      </c>
      <c r="C3" s="51" t="n"/>
      <c r="D3" s="51" t="n"/>
      <c r="E3" s="52" t="n"/>
      <c r="F3" s="2" t="n"/>
    </row>
    <row r="4" ht="8" customHeight="1">
      <c r="A4" s="2" t="n"/>
      <c r="B4" s="2" t="n"/>
      <c r="C4" s="2" t="n"/>
      <c r="D4" s="2" t="n"/>
      <c r="E4" s="2" t="n"/>
      <c r="F4" s="2" t="n"/>
    </row>
    <row r="5" ht="28" customHeight="1">
      <c r="A5" s="2" t="n"/>
      <c r="B5" s="16" t="inlineStr">
        <is>
          <t>Kategorie</t>
        </is>
      </c>
      <c r="C5" s="16" t="inlineStr">
        <is>
          <t>Dienst</t>
        </is>
      </c>
      <c r="D5" s="16" t="inlineStr">
        <is>
          <t>Hast du?</t>
        </is>
      </c>
      <c r="E5" s="16" t="inlineStr">
        <is>
          <t>Mtl. Kosten (€)</t>
        </is>
      </c>
      <c r="F5" s="2" t="n"/>
    </row>
    <row r="6" ht="24" customHeight="1">
      <c r="A6" s="2" t="n"/>
      <c r="B6" s="17" t="inlineStr">
        <is>
          <t>Streaming Video</t>
        </is>
      </c>
      <c r="C6" s="53" t="n"/>
      <c r="D6" s="53" t="n"/>
      <c r="E6" s="54" t="n"/>
      <c r="F6" s="2" t="n"/>
    </row>
    <row r="7" ht="22" customHeight="1">
      <c r="A7" s="2" t="n"/>
      <c r="B7" s="19" t="n"/>
      <c r="C7" s="6" t="inlineStr">
        <is>
          <t>Netflix</t>
        </is>
      </c>
      <c r="D7" s="20" t="inlineStr">
        <is>
          <t>Nein</t>
        </is>
      </c>
      <c r="E7" s="7" t="n"/>
      <c r="F7" s="2" t="n"/>
    </row>
    <row r="8" ht="22" customHeight="1">
      <c r="A8" s="2" t="n"/>
      <c r="B8" s="19" t="n"/>
      <c r="C8" s="6" t="inlineStr">
        <is>
          <t>Disney+</t>
        </is>
      </c>
      <c r="D8" s="20" t="inlineStr">
        <is>
          <t>Nein</t>
        </is>
      </c>
      <c r="E8" s="7" t="n"/>
      <c r="F8" s="2" t="n"/>
    </row>
    <row r="9" ht="22" customHeight="1">
      <c r="A9" s="2" t="n"/>
      <c r="B9" s="19" t="n"/>
      <c r="C9" s="6" t="inlineStr">
        <is>
          <t>Amazon Prime Video</t>
        </is>
      </c>
      <c r="D9" s="20" t="inlineStr">
        <is>
          <t>Nein</t>
        </is>
      </c>
      <c r="E9" s="7" t="n"/>
      <c r="F9" s="2" t="n"/>
    </row>
    <row r="10" ht="22" customHeight="1">
      <c r="A10" s="2" t="n"/>
      <c r="B10" s="19" t="n"/>
      <c r="C10" s="6" t="inlineStr">
        <is>
          <t>Sky / WOW</t>
        </is>
      </c>
      <c r="D10" s="20" t="inlineStr">
        <is>
          <t>Nein</t>
        </is>
      </c>
      <c r="E10" s="7" t="n"/>
      <c r="F10" s="2" t="n"/>
    </row>
    <row r="11" ht="22" customHeight="1">
      <c r="A11" s="2" t="n"/>
      <c r="B11" s="19" t="n"/>
      <c r="C11" s="6" t="inlineStr">
        <is>
          <t>DAZN</t>
        </is>
      </c>
      <c r="D11" s="20" t="inlineStr">
        <is>
          <t>Nein</t>
        </is>
      </c>
      <c r="E11" s="7" t="n"/>
      <c r="F11" s="2" t="n"/>
    </row>
    <row r="12" ht="22" customHeight="1">
      <c r="A12" s="2" t="n"/>
      <c r="B12" s="19" t="n"/>
      <c r="C12" s="6" t="inlineStr">
        <is>
          <t>RTL+</t>
        </is>
      </c>
      <c r="D12" s="20" t="inlineStr">
        <is>
          <t>Nein</t>
        </is>
      </c>
      <c r="E12" s="7" t="n"/>
      <c r="F12" s="2" t="n"/>
    </row>
    <row r="13" ht="22" customHeight="1">
      <c r="A13" s="2" t="n"/>
      <c r="B13" s="19" t="n"/>
      <c r="C13" s="6" t="inlineStr">
        <is>
          <t>Paramount+</t>
        </is>
      </c>
      <c r="D13" s="20" t="inlineStr">
        <is>
          <t>Nein</t>
        </is>
      </c>
      <c r="E13" s="7" t="n"/>
      <c r="F13" s="2" t="n"/>
    </row>
    <row r="14" ht="22" customHeight="1">
      <c r="A14" s="2" t="n"/>
      <c r="B14" s="19" t="n"/>
      <c r="C14" s="6" t="inlineStr">
        <is>
          <t>Apple TV+</t>
        </is>
      </c>
      <c r="D14" s="20" t="inlineStr">
        <is>
          <t>Nein</t>
        </is>
      </c>
      <c r="E14" s="7" t="n"/>
      <c r="F14" s="2" t="n"/>
    </row>
    <row r="15" ht="22" customHeight="1">
      <c r="A15" s="2" t="n"/>
      <c r="B15" s="19" t="n"/>
      <c r="C15" s="6" t="inlineStr">
        <is>
          <t>Joyn+</t>
        </is>
      </c>
      <c r="D15" s="20" t="inlineStr">
        <is>
          <t>Nein</t>
        </is>
      </c>
      <c r="E15" s="7" t="n"/>
      <c r="F15" s="2" t="n"/>
    </row>
    <row r="16" ht="22" customHeight="1">
      <c r="A16" s="2" t="n"/>
      <c r="B16" s="19" t="n"/>
      <c r="C16" s="6" t="inlineStr">
        <is>
          <t>MagentaTV</t>
        </is>
      </c>
      <c r="D16" s="20" t="inlineStr">
        <is>
          <t>Nein</t>
        </is>
      </c>
      <c r="E16" s="7" t="n"/>
      <c r="F16" s="2" t="n"/>
    </row>
    <row r="17" ht="24" customHeight="1">
      <c r="A17" s="2" t="n"/>
      <c r="B17" s="17" t="inlineStr">
        <is>
          <t>Streaming Musik</t>
        </is>
      </c>
      <c r="C17" s="53" t="n"/>
      <c r="D17" s="53" t="n"/>
      <c r="E17" s="54" t="n"/>
      <c r="F17" s="2" t="n"/>
    </row>
    <row r="18" ht="22" customHeight="1">
      <c r="A18" s="2" t="n"/>
      <c r="B18" s="19" t="n"/>
      <c r="C18" s="6" t="inlineStr">
        <is>
          <t>Spotify</t>
        </is>
      </c>
      <c r="D18" s="20" t="inlineStr">
        <is>
          <t>Nein</t>
        </is>
      </c>
      <c r="E18" s="7" t="n"/>
      <c r="F18" s="2" t="n"/>
    </row>
    <row r="19" ht="22" customHeight="1">
      <c r="A19" s="2" t="n"/>
      <c r="B19" s="19" t="n"/>
      <c r="C19" s="6" t="inlineStr">
        <is>
          <t>Apple Music</t>
        </is>
      </c>
      <c r="D19" s="20" t="inlineStr">
        <is>
          <t>Nein</t>
        </is>
      </c>
      <c r="E19" s="7" t="n"/>
      <c r="F19" s="2" t="n"/>
    </row>
    <row r="20" ht="22" customHeight="1">
      <c r="A20" s="2" t="n"/>
      <c r="B20" s="19" t="n"/>
      <c r="C20" s="6" t="inlineStr">
        <is>
          <t>Amazon Music</t>
        </is>
      </c>
      <c r="D20" s="20" t="inlineStr">
        <is>
          <t>Nein</t>
        </is>
      </c>
      <c r="E20" s="7" t="n"/>
      <c r="F20" s="2" t="n"/>
    </row>
    <row r="21" ht="22" customHeight="1">
      <c r="A21" s="2" t="n"/>
      <c r="B21" s="19" t="n"/>
      <c r="C21" s="6" t="inlineStr">
        <is>
          <t>Deezer</t>
        </is>
      </c>
      <c r="D21" s="20" t="inlineStr">
        <is>
          <t>Nein</t>
        </is>
      </c>
      <c r="E21" s="7" t="n"/>
      <c r="F21" s="2" t="n"/>
    </row>
    <row r="22" ht="22" customHeight="1">
      <c r="A22" s="2" t="n"/>
      <c r="B22" s="19" t="n"/>
      <c r="C22" s="6" t="inlineStr">
        <is>
          <t>YouTube Music</t>
        </is>
      </c>
      <c r="D22" s="20" t="inlineStr">
        <is>
          <t>Nein</t>
        </is>
      </c>
      <c r="E22" s="7" t="n"/>
      <c r="F22" s="2" t="n"/>
    </row>
    <row r="23" ht="22" customHeight="1">
      <c r="A23" s="2" t="n"/>
      <c r="B23" s="19" t="n"/>
      <c r="C23" s="6" t="inlineStr">
        <is>
          <t>Tidal</t>
        </is>
      </c>
      <c r="D23" s="20" t="inlineStr">
        <is>
          <t>Nein</t>
        </is>
      </c>
      <c r="E23" s="7" t="n"/>
      <c r="F23" s="2" t="n"/>
    </row>
    <row r="24" ht="24" customHeight="1">
      <c r="A24" s="2" t="n"/>
      <c r="B24" s="17" t="inlineStr">
        <is>
          <t>Fitness</t>
        </is>
      </c>
      <c r="C24" s="53" t="n"/>
      <c r="D24" s="53" t="n"/>
      <c r="E24" s="54" t="n"/>
      <c r="F24" s="2" t="n"/>
    </row>
    <row r="25" ht="22" customHeight="1">
      <c r="A25" s="2" t="n"/>
      <c r="B25" s="19" t="n"/>
      <c r="C25" s="6" t="inlineStr">
        <is>
          <t>McFit / RSG Group</t>
        </is>
      </c>
      <c r="D25" s="20" t="inlineStr">
        <is>
          <t>Nein</t>
        </is>
      </c>
      <c r="E25" s="7" t="n"/>
      <c r="F25" s="2" t="n"/>
    </row>
    <row r="26" ht="22" customHeight="1">
      <c r="A26" s="2" t="n"/>
      <c r="B26" s="19" t="n"/>
      <c r="C26" s="6" t="inlineStr">
        <is>
          <t>FitX</t>
        </is>
      </c>
      <c r="D26" s="20" t="inlineStr">
        <is>
          <t>Nein</t>
        </is>
      </c>
      <c r="E26" s="7" t="n"/>
      <c r="F26" s="2" t="n"/>
    </row>
    <row r="27" ht="22" customHeight="1">
      <c r="A27" s="2" t="n"/>
      <c r="B27" s="19" t="n"/>
      <c r="C27" s="6" t="inlineStr">
        <is>
          <t>Urban Sports Club</t>
        </is>
      </c>
      <c r="D27" s="20" t="inlineStr">
        <is>
          <t>Nein</t>
        </is>
      </c>
      <c r="E27" s="7" t="n"/>
      <c r="F27" s="2" t="n"/>
    </row>
    <row r="28" ht="22" customHeight="1">
      <c r="A28" s="2" t="n"/>
      <c r="B28" s="19" t="n"/>
      <c r="C28" s="6" t="inlineStr">
        <is>
          <t>Gymondo</t>
        </is>
      </c>
      <c r="D28" s="20" t="inlineStr">
        <is>
          <t>Nein</t>
        </is>
      </c>
      <c r="E28" s="7" t="n"/>
      <c r="F28" s="2" t="n"/>
    </row>
    <row r="29" ht="22" customHeight="1">
      <c r="A29" s="2" t="n"/>
      <c r="B29" s="19" t="n"/>
      <c r="C29" s="6" t="inlineStr">
        <is>
          <t>Peloton</t>
        </is>
      </c>
      <c r="D29" s="20" t="inlineStr">
        <is>
          <t>Nein</t>
        </is>
      </c>
      <c r="E29" s="7" t="n"/>
      <c r="F29" s="2" t="n"/>
    </row>
    <row r="30" ht="22" customHeight="1">
      <c r="A30" s="2" t="n"/>
      <c r="B30" s="19" t="n"/>
      <c r="C30" s="6" t="inlineStr">
        <is>
          <t>EGYM Wellpass</t>
        </is>
      </c>
      <c r="D30" s="20" t="inlineStr">
        <is>
          <t>Nein</t>
        </is>
      </c>
      <c r="E30" s="7" t="n"/>
      <c r="F30" s="2" t="n"/>
    </row>
    <row r="31" ht="24" customHeight="1">
      <c r="A31" s="2" t="n"/>
      <c r="B31" s="17" t="inlineStr">
        <is>
          <t>Software</t>
        </is>
      </c>
      <c r="C31" s="53" t="n"/>
      <c r="D31" s="53" t="n"/>
      <c r="E31" s="54" t="n"/>
      <c r="F31" s="2" t="n"/>
    </row>
    <row r="32" ht="22" customHeight="1">
      <c r="A32" s="2" t="n"/>
      <c r="B32" s="19" t="n"/>
      <c r="C32" s="6" t="inlineStr">
        <is>
          <t>Adobe Creative Cloud</t>
        </is>
      </c>
      <c r="D32" s="20" t="inlineStr">
        <is>
          <t>Nein</t>
        </is>
      </c>
      <c r="E32" s="7" t="n"/>
      <c r="F32" s="2" t="n"/>
    </row>
    <row r="33" ht="22" customHeight="1">
      <c r="A33" s="2" t="n"/>
      <c r="B33" s="19" t="n"/>
      <c r="C33" s="6" t="inlineStr">
        <is>
          <t>Microsoft 365</t>
        </is>
      </c>
      <c r="D33" s="20" t="inlineStr">
        <is>
          <t>Nein</t>
        </is>
      </c>
      <c r="E33" s="7" t="n"/>
      <c r="F33" s="2" t="n"/>
    </row>
    <row r="34" ht="22" customHeight="1">
      <c r="A34" s="2" t="n"/>
      <c r="B34" s="19" t="n"/>
      <c r="C34" s="6" t="inlineStr">
        <is>
          <t>Canva Pro</t>
        </is>
      </c>
      <c r="D34" s="20" t="inlineStr">
        <is>
          <t>Nein</t>
        </is>
      </c>
      <c r="E34" s="7" t="n"/>
      <c r="F34" s="2" t="n"/>
    </row>
    <row r="35" ht="22" customHeight="1">
      <c r="A35" s="2" t="n"/>
      <c r="B35" s="19" t="n"/>
      <c r="C35" s="6" t="inlineStr">
        <is>
          <t>Notion</t>
        </is>
      </c>
      <c r="D35" s="20" t="inlineStr">
        <is>
          <t>Nein</t>
        </is>
      </c>
      <c r="E35" s="7" t="n"/>
      <c r="F35" s="2" t="n"/>
    </row>
    <row r="36" ht="22" customHeight="1">
      <c r="A36" s="2" t="n"/>
      <c r="B36" s="19" t="n"/>
      <c r="C36" s="6" t="inlineStr">
        <is>
          <t>1Password</t>
        </is>
      </c>
      <c r="D36" s="20" t="inlineStr">
        <is>
          <t>Nein</t>
        </is>
      </c>
      <c r="E36" s="7" t="n"/>
      <c r="F36" s="2" t="n"/>
    </row>
    <row r="37" ht="22" customHeight="1">
      <c r="A37" s="2" t="n"/>
      <c r="B37" s="19" t="n"/>
      <c r="C37" s="6" t="inlineStr">
        <is>
          <t>Evernote</t>
        </is>
      </c>
      <c r="D37" s="20" t="inlineStr">
        <is>
          <t>Nein</t>
        </is>
      </c>
      <c r="E37" s="7" t="n"/>
      <c r="F37" s="2" t="n"/>
    </row>
    <row r="38" ht="22" customHeight="1">
      <c r="A38" s="2" t="n"/>
      <c r="B38" s="19" t="n"/>
      <c r="C38" s="6" t="inlineStr">
        <is>
          <t>Todoist Premium</t>
        </is>
      </c>
      <c r="D38" s="20" t="inlineStr">
        <is>
          <t>Nein</t>
        </is>
      </c>
      <c r="E38" s="7" t="n"/>
      <c r="F38" s="2" t="n"/>
    </row>
    <row r="39" ht="24" customHeight="1">
      <c r="A39" s="2" t="n"/>
      <c r="B39" s="17" t="inlineStr">
        <is>
          <t>Cloud-Speicher</t>
        </is>
      </c>
      <c r="C39" s="53" t="n"/>
      <c r="D39" s="53" t="n"/>
      <c r="E39" s="54" t="n"/>
      <c r="F39" s="2" t="n"/>
    </row>
    <row r="40" ht="22" customHeight="1">
      <c r="A40" s="2" t="n"/>
      <c r="B40" s="19" t="n"/>
      <c r="C40" s="6" t="inlineStr">
        <is>
          <t>iCloud+</t>
        </is>
      </c>
      <c r="D40" s="20" t="inlineStr">
        <is>
          <t>Nein</t>
        </is>
      </c>
      <c r="E40" s="7" t="n"/>
      <c r="F40" s="2" t="n"/>
    </row>
    <row r="41" ht="22" customHeight="1">
      <c r="A41" s="2" t="n"/>
      <c r="B41" s="19" t="n"/>
      <c r="C41" s="6" t="inlineStr">
        <is>
          <t>Google One</t>
        </is>
      </c>
      <c r="D41" s="20" t="inlineStr">
        <is>
          <t>Nein</t>
        </is>
      </c>
      <c r="E41" s="7" t="n"/>
      <c r="F41" s="2" t="n"/>
    </row>
    <row r="42" ht="22" customHeight="1">
      <c r="A42" s="2" t="n"/>
      <c r="B42" s="19" t="n"/>
      <c r="C42" s="6" t="inlineStr">
        <is>
          <t>Dropbox</t>
        </is>
      </c>
      <c r="D42" s="20" t="inlineStr">
        <is>
          <t>Nein</t>
        </is>
      </c>
      <c r="E42" s="7" t="n"/>
      <c r="F42" s="2" t="n"/>
    </row>
    <row r="43" ht="22" customHeight="1">
      <c r="A43" s="2" t="n"/>
      <c r="B43" s="19" t="n"/>
      <c r="C43" s="6" t="inlineStr">
        <is>
          <t>OneDrive</t>
        </is>
      </c>
      <c r="D43" s="20" t="inlineStr">
        <is>
          <t>Nein</t>
        </is>
      </c>
      <c r="E43" s="7" t="n"/>
      <c r="F43" s="2" t="n"/>
    </row>
    <row r="44" ht="22" customHeight="1">
      <c r="A44" s="2" t="n"/>
      <c r="B44" s="19" t="n"/>
      <c r="C44" s="6" t="inlineStr">
        <is>
          <t>pCloud</t>
        </is>
      </c>
      <c r="D44" s="20" t="inlineStr">
        <is>
          <t>Nein</t>
        </is>
      </c>
      <c r="E44" s="7" t="n"/>
      <c r="F44" s="2" t="n"/>
    </row>
    <row r="45" ht="24" customHeight="1">
      <c r="A45" s="2" t="n"/>
      <c r="B45" s="17" t="inlineStr">
        <is>
          <t>News &amp; Magazine</t>
        </is>
      </c>
      <c r="C45" s="53" t="n"/>
      <c r="D45" s="53" t="n"/>
      <c r="E45" s="54" t="n"/>
      <c r="F45" s="2" t="n"/>
    </row>
    <row r="46" ht="22" customHeight="1">
      <c r="A46" s="2" t="n"/>
      <c r="B46" s="19" t="n"/>
      <c r="C46" s="6" t="inlineStr">
        <is>
          <t>Spiegel+</t>
        </is>
      </c>
      <c r="D46" s="20" t="inlineStr">
        <is>
          <t>Nein</t>
        </is>
      </c>
      <c r="E46" s="7" t="n"/>
      <c r="F46" s="2" t="n"/>
    </row>
    <row r="47" ht="22" customHeight="1">
      <c r="A47" s="2" t="n"/>
      <c r="B47" s="19" t="n"/>
      <c r="C47" s="6" t="inlineStr">
        <is>
          <t>Zeit Online</t>
        </is>
      </c>
      <c r="D47" s="20" t="inlineStr">
        <is>
          <t>Nein</t>
        </is>
      </c>
      <c r="E47" s="7" t="n"/>
      <c r="F47" s="2" t="n"/>
    </row>
    <row r="48" ht="22" customHeight="1">
      <c r="A48" s="2" t="n"/>
      <c r="B48" s="19" t="n"/>
      <c r="C48" s="6" t="inlineStr">
        <is>
          <t>Bild+</t>
        </is>
      </c>
      <c r="D48" s="20" t="inlineStr">
        <is>
          <t>Nein</t>
        </is>
      </c>
      <c r="E48" s="7" t="n"/>
      <c r="F48" s="2" t="n"/>
    </row>
    <row r="49" ht="22" customHeight="1">
      <c r="A49" s="2" t="n"/>
      <c r="B49" s="19" t="n"/>
      <c r="C49" s="6" t="inlineStr">
        <is>
          <t>FAZ+</t>
        </is>
      </c>
      <c r="D49" s="20" t="inlineStr">
        <is>
          <t>Nein</t>
        </is>
      </c>
      <c r="E49" s="7" t="n"/>
      <c r="F49" s="2" t="n"/>
    </row>
    <row r="50" ht="22" customHeight="1">
      <c r="A50" s="2" t="n"/>
      <c r="B50" s="19" t="n"/>
      <c r="C50" s="6" t="inlineStr">
        <is>
          <t>Readly</t>
        </is>
      </c>
      <c r="D50" s="20" t="inlineStr">
        <is>
          <t>Nein</t>
        </is>
      </c>
      <c r="E50" s="7" t="n"/>
      <c r="F50" s="2" t="n"/>
    </row>
    <row r="51" ht="22" customHeight="1">
      <c r="A51" s="2" t="n"/>
      <c r="B51" s="19" t="n"/>
      <c r="C51" s="6" t="inlineStr">
        <is>
          <t>Audible</t>
        </is>
      </c>
      <c r="D51" s="20" t="inlineStr">
        <is>
          <t>Nein</t>
        </is>
      </c>
      <c r="E51" s="7" t="n"/>
      <c r="F51" s="2" t="n"/>
    </row>
    <row r="52" ht="22" customHeight="1">
      <c r="A52" s="2" t="n"/>
      <c r="B52" s="19" t="n"/>
      <c r="C52" s="6" t="inlineStr">
        <is>
          <t>Blinkist</t>
        </is>
      </c>
      <c r="D52" s="20" t="inlineStr">
        <is>
          <t>Nein</t>
        </is>
      </c>
      <c r="E52" s="7" t="n"/>
      <c r="F52" s="2" t="n"/>
    </row>
    <row r="53" ht="22" customHeight="1">
      <c r="A53" s="2" t="n"/>
      <c r="B53" s="19" t="n"/>
      <c r="C53" s="6" t="inlineStr">
        <is>
          <t>Kindle Unlimited</t>
        </is>
      </c>
      <c r="D53" s="20" t="inlineStr">
        <is>
          <t>Nein</t>
        </is>
      </c>
      <c r="E53" s="7" t="n"/>
      <c r="F53" s="2" t="n"/>
    </row>
    <row r="54" ht="24" customHeight="1">
      <c r="A54" s="2" t="n"/>
      <c r="B54" s="17" t="inlineStr">
        <is>
          <t>Gaming</t>
        </is>
      </c>
      <c r="C54" s="53" t="n"/>
      <c r="D54" s="53" t="n"/>
      <c r="E54" s="54" t="n"/>
      <c r="F54" s="2" t="n"/>
    </row>
    <row r="55" ht="22" customHeight="1">
      <c r="A55" s="2" t="n"/>
      <c r="B55" s="19" t="n"/>
      <c r="C55" s="6" t="inlineStr">
        <is>
          <t>PlayStation Plus</t>
        </is>
      </c>
      <c r="D55" s="20" t="inlineStr">
        <is>
          <t>Nein</t>
        </is>
      </c>
      <c r="E55" s="7" t="n"/>
      <c r="F55" s="2" t="n"/>
    </row>
    <row r="56" ht="22" customHeight="1">
      <c r="A56" s="2" t="n"/>
      <c r="B56" s="19" t="n"/>
      <c r="C56" s="6" t="inlineStr">
        <is>
          <t>Xbox Game Pass</t>
        </is>
      </c>
      <c r="D56" s="20" t="inlineStr">
        <is>
          <t>Nein</t>
        </is>
      </c>
      <c r="E56" s="7" t="n"/>
      <c r="F56" s="2" t="n"/>
    </row>
    <row r="57" ht="22" customHeight="1">
      <c r="A57" s="2" t="n"/>
      <c r="B57" s="19" t="n"/>
      <c r="C57" s="6" t="inlineStr">
        <is>
          <t>Nintendo Switch Online</t>
        </is>
      </c>
      <c r="D57" s="20" t="inlineStr">
        <is>
          <t>Nein</t>
        </is>
      </c>
      <c r="E57" s="7" t="n"/>
      <c r="F57" s="2" t="n"/>
    </row>
    <row r="58" ht="22" customHeight="1">
      <c r="A58" s="2" t="n"/>
      <c r="B58" s="19" t="n"/>
      <c r="C58" s="6" t="inlineStr">
        <is>
          <t>EA Play</t>
        </is>
      </c>
      <c r="D58" s="20" t="inlineStr">
        <is>
          <t>Nein</t>
        </is>
      </c>
      <c r="E58" s="7" t="n"/>
      <c r="F58" s="2" t="n"/>
    </row>
    <row r="59" ht="22" customHeight="1">
      <c r="A59" s="2" t="n"/>
      <c r="B59" s="19" t="n"/>
      <c r="C59" s="6" t="inlineStr">
        <is>
          <t>GeForce NOW</t>
        </is>
      </c>
      <c r="D59" s="20" t="inlineStr">
        <is>
          <t>Nein</t>
        </is>
      </c>
      <c r="E59" s="7" t="n"/>
      <c r="F59" s="2" t="n"/>
    </row>
    <row r="60" ht="24" customHeight="1">
      <c r="A60" s="2" t="n"/>
      <c r="B60" s="17" t="inlineStr">
        <is>
          <t>Lieferdienste</t>
        </is>
      </c>
      <c r="C60" s="53" t="n"/>
      <c r="D60" s="53" t="n"/>
      <c r="E60" s="54" t="n"/>
      <c r="F60" s="2" t="n"/>
    </row>
    <row r="61" ht="22" customHeight="1">
      <c r="A61" s="2" t="n"/>
      <c r="B61" s="19" t="n"/>
      <c r="C61" s="6" t="inlineStr">
        <is>
          <t>Amazon Prime</t>
        </is>
      </c>
      <c r="D61" s="20" t="inlineStr">
        <is>
          <t>Nein</t>
        </is>
      </c>
      <c r="E61" s="7" t="n"/>
      <c r="F61" s="2" t="n"/>
    </row>
    <row r="62" ht="22" customHeight="1">
      <c r="A62" s="2" t="n"/>
      <c r="B62" s="19" t="n"/>
      <c r="C62" s="6" t="inlineStr">
        <is>
          <t>HelloFresh</t>
        </is>
      </c>
      <c r="D62" s="20" t="inlineStr">
        <is>
          <t>Nein</t>
        </is>
      </c>
      <c r="E62" s="7" t="n"/>
      <c r="F62" s="2" t="n"/>
    </row>
    <row r="63" ht="22" customHeight="1">
      <c r="A63" s="2" t="n"/>
      <c r="B63" s="19" t="n"/>
      <c r="C63" s="6" t="inlineStr">
        <is>
          <t>Marley Spoon</t>
        </is>
      </c>
      <c r="D63" s="20" t="inlineStr">
        <is>
          <t>Nein</t>
        </is>
      </c>
      <c r="E63" s="7" t="n"/>
      <c r="F63" s="2" t="n"/>
    </row>
    <row r="64" ht="22" customHeight="1">
      <c r="A64" s="2" t="n"/>
      <c r="B64" s="19" t="n"/>
      <c r="C64" s="6" t="inlineStr">
        <is>
          <t>Too Good To Go</t>
        </is>
      </c>
      <c r="D64" s="20" t="inlineStr">
        <is>
          <t>Nein</t>
        </is>
      </c>
      <c r="E64" s="7" t="n"/>
      <c r="F64" s="2" t="n"/>
    </row>
    <row r="65" ht="24" customHeight="1">
      <c r="A65" s="2" t="n"/>
      <c r="B65" s="17" t="inlineStr">
        <is>
          <t>Kommunikation</t>
        </is>
      </c>
      <c r="C65" s="53" t="n"/>
      <c r="D65" s="53" t="n"/>
      <c r="E65" s="54" t="n"/>
      <c r="F65" s="2" t="n"/>
    </row>
    <row r="66" ht="22" customHeight="1">
      <c r="A66" s="2" t="n"/>
      <c r="B66" s="19" t="n"/>
      <c r="C66" s="6" t="inlineStr">
        <is>
          <t>Mobilfunkvertrag</t>
        </is>
      </c>
      <c r="D66" s="20" t="inlineStr">
        <is>
          <t>Nein</t>
        </is>
      </c>
      <c r="E66" s="7" t="n"/>
      <c r="F66" s="2" t="n"/>
    </row>
    <row r="67" ht="22" customHeight="1">
      <c r="A67" s="2" t="n"/>
      <c r="B67" s="19" t="n"/>
      <c r="C67" s="6" t="inlineStr">
        <is>
          <t>Internet / Festnetz</t>
        </is>
      </c>
      <c r="D67" s="20" t="inlineStr">
        <is>
          <t>Nein</t>
        </is>
      </c>
      <c r="E67" s="7" t="n"/>
      <c r="F67" s="2" t="n"/>
    </row>
    <row r="68" ht="22" customHeight="1">
      <c r="A68" s="2" t="n"/>
      <c r="B68" s="19" t="n"/>
      <c r="C68" s="6" t="inlineStr">
        <is>
          <t>VPN-Dienst</t>
        </is>
      </c>
      <c r="D68" s="20" t="inlineStr">
        <is>
          <t>Nein</t>
        </is>
      </c>
      <c r="E68" s="7" t="n"/>
      <c r="F68" s="2" t="n"/>
    </row>
    <row r="69" ht="24" customHeight="1">
      <c r="A69" s="2" t="n"/>
      <c r="B69" s="17" t="inlineStr">
        <is>
          <t>Versicherungen</t>
        </is>
      </c>
      <c r="C69" s="53" t="n"/>
      <c r="D69" s="53" t="n"/>
      <c r="E69" s="54" t="n"/>
      <c r="F69" s="2" t="n"/>
    </row>
    <row r="70" ht="22" customHeight="1">
      <c r="A70" s="2" t="n"/>
      <c r="B70" s="19" t="n"/>
      <c r="C70" s="6" t="inlineStr">
        <is>
          <t>Handyversicherung</t>
        </is>
      </c>
      <c r="D70" s="20" t="inlineStr">
        <is>
          <t>Nein</t>
        </is>
      </c>
      <c r="E70" s="7" t="n"/>
      <c r="F70" s="2" t="n"/>
    </row>
    <row r="71" ht="22" customHeight="1">
      <c r="A71" s="2" t="n"/>
      <c r="B71" s="19" t="n"/>
      <c r="C71" s="6" t="inlineStr">
        <is>
          <t>Reiseversicherung</t>
        </is>
      </c>
      <c r="D71" s="20" t="inlineStr">
        <is>
          <t>Nein</t>
        </is>
      </c>
      <c r="E71" s="7" t="n"/>
      <c r="F71" s="2" t="n"/>
    </row>
    <row r="72" ht="22" customHeight="1">
      <c r="A72" s="2" t="n"/>
      <c r="B72" s="19" t="n"/>
      <c r="C72" s="6" t="inlineStr">
        <is>
          <t>Zahnzusatzversicherung</t>
        </is>
      </c>
      <c r="D72" s="20" t="inlineStr">
        <is>
          <t>Nein</t>
        </is>
      </c>
      <c r="E72" s="7" t="n"/>
      <c r="F72" s="2" t="n"/>
    </row>
    <row r="73" ht="24" customHeight="1">
      <c r="A73" s="2" t="n"/>
      <c r="B73" s="17" t="inlineStr">
        <is>
          <t>Sonstiges</t>
        </is>
      </c>
      <c r="C73" s="53" t="n"/>
      <c r="D73" s="53" t="n"/>
      <c r="E73" s="54" t="n"/>
      <c r="F73" s="2" t="n"/>
    </row>
    <row r="74" ht="22" customHeight="1">
      <c r="A74" s="2" t="n"/>
      <c r="B74" s="19" t="n"/>
      <c r="C74" s="6" t="inlineStr">
        <is>
          <t>Patreon</t>
        </is>
      </c>
      <c r="D74" s="20" t="inlineStr">
        <is>
          <t>Nein</t>
        </is>
      </c>
      <c r="E74" s="7" t="n"/>
      <c r="F74" s="2" t="n"/>
    </row>
    <row r="75" ht="22" customHeight="1">
      <c r="A75" s="2" t="n"/>
      <c r="B75" s="19" t="n"/>
      <c r="C75" s="6" t="inlineStr">
        <is>
          <t>Twitch Subs</t>
        </is>
      </c>
      <c r="D75" s="20" t="inlineStr">
        <is>
          <t>Nein</t>
        </is>
      </c>
      <c r="E75" s="7" t="n"/>
      <c r="F75" s="2" t="n"/>
    </row>
    <row r="76" ht="22" customHeight="1">
      <c r="A76" s="2" t="n"/>
      <c r="B76" s="19" t="n"/>
      <c r="C76" s="6" t="inlineStr">
        <is>
          <t>ADAC</t>
        </is>
      </c>
      <c r="D76" s="20" t="inlineStr">
        <is>
          <t>Nein</t>
        </is>
      </c>
      <c r="E76" s="7" t="n"/>
      <c r="F76" s="2" t="n"/>
    </row>
    <row r="77" ht="22" customHeight="1">
      <c r="A77" s="2" t="n"/>
      <c r="B77" s="19" t="n"/>
      <c r="C77" s="6" t="inlineStr">
        <is>
          <t>Verein / Mitgliedschaft</t>
        </is>
      </c>
      <c r="D77" s="20" t="inlineStr">
        <is>
          <t>Nein</t>
        </is>
      </c>
      <c r="E77" s="7" t="n"/>
      <c r="F77" s="2" t="n"/>
    </row>
    <row r="78" ht="22" customHeight="1">
      <c r="A78" s="2" t="n"/>
      <c r="B78" s="19" t="n"/>
      <c r="C78" s="6" t="inlineStr">
        <is>
          <t>Sonstiges 1</t>
        </is>
      </c>
      <c r="D78" s="20" t="inlineStr">
        <is>
          <t>Nein</t>
        </is>
      </c>
      <c r="E78" s="7" t="n"/>
      <c r="F78" s="2" t="n"/>
    </row>
    <row r="79" ht="22" customHeight="1">
      <c r="A79" s="2" t="n"/>
      <c r="B79" s="19" t="n"/>
      <c r="C79" s="6" t="inlineStr">
        <is>
          <t>Sonstiges 2</t>
        </is>
      </c>
      <c r="D79" s="20" t="inlineStr">
        <is>
          <t>Nein</t>
        </is>
      </c>
      <c r="E79" s="7" t="n"/>
      <c r="F79" s="2" t="n"/>
    </row>
    <row r="80">
      <c r="A80" s="2" t="n"/>
      <c r="B80" s="2" t="n"/>
      <c r="C80" s="2" t="n"/>
      <c r="D80" s="2" t="n"/>
      <c r="E80" s="2" t="n"/>
      <c r="F80" s="2" t="n"/>
    </row>
    <row r="81" ht="30" customHeight="1">
      <c r="A81" s="2" t="n"/>
      <c r="B81" s="2" t="n"/>
      <c r="C81" s="9" t="inlineStr">
        <is>
          <t>Gefundene Abos:</t>
        </is>
      </c>
      <c r="D81" s="21">
        <f>COUNTIF(D6:D79,"Ja")</f>
        <v/>
      </c>
      <c r="E81" s="2" t="n"/>
      <c r="F81" s="2" t="n"/>
    </row>
    <row r="82" ht="30" customHeight="1">
      <c r="A82" s="2" t="n"/>
      <c r="B82" s="2" t="n"/>
      <c r="C82" s="9" t="inlineStr">
        <is>
          <t>Geschätzte Gesamtkosten:</t>
        </is>
      </c>
      <c r="D82" s="22">
        <f>SUMIF(D6:D79,"Ja",E6:E79)</f>
        <v/>
      </c>
      <c r="E82" s="2" t="n"/>
      <c r="F82" s="2" t="n"/>
    </row>
    <row r="83">
      <c r="A83" s="2" t="n"/>
      <c r="B83" s="2" t="n"/>
      <c r="C83" s="2" t="n"/>
      <c r="D83" s="2" t="n"/>
      <c r="E83" s="2" t="n"/>
      <c r="F83" s="2" t="n"/>
    </row>
    <row r="84">
      <c r="A84" s="2" t="n"/>
      <c r="B84" s="23" t="inlineStr">
        <is>
          <t>👉 Trage die gefundenen Abos jetzt in den Abo-Tracker Tab ein!</t>
        </is>
      </c>
      <c r="F84" s="2" t="n"/>
    </row>
    <row r="85">
      <c r="A85" s="2" t="n"/>
      <c r="B85" s="2" t="n"/>
      <c r="C85" s="2" t="n"/>
      <c r="D85" s="2" t="n"/>
      <c r="E85" s="2" t="n"/>
      <c r="F85" s="2" t="n"/>
    </row>
    <row r="86">
      <c r="A86" s="2" t="n"/>
      <c r="B86" s="2" t="n"/>
      <c r="C86" s="2" t="n"/>
      <c r="D86" s="2" t="n"/>
      <c r="E86" s="2" t="n"/>
      <c r="F86" s="2" t="n"/>
    </row>
    <row r="87">
      <c r="A87" s="2" t="n"/>
      <c r="B87" s="2" t="n"/>
      <c r="C87" s="2" t="n"/>
      <c r="D87" s="2" t="n"/>
      <c r="E87" s="2" t="n"/>
      <c r="F87" s="2" t="n"/>
    </row>
  </sheetData>
  <mergeCells count="15">
    <mergeCell ref="B31:E31"/>
    <mergeCell ref="B17:E17"/>
    <mergeCell ref="B45:E45"/>
    <mergeCell ref="B1:E1"/>
    <mergeCell ref="B65:E65"/>
    <mergeCell ref="B73:E73"/>
    <mergeCell ref="B69:E69"/>
    <mergeCell ref="B6:E6"/>
    <mergeCell ref="B54:E54"/>
    <mergeCell ref="B39:E39"/>
    <mergeCell ref="B3:E3"/>
    <mergeCell ref="B2:E2"/>
    <mergeCell ref="B24:E24"/>
    <mergeCell ref="B60:E60"/>
    <mergeCell ref="B84:E84"/>
  </mergeCells>
  <dataValidations count="1">
    <dataValidation sqref="D7 D8 D9 D10 D11 D12 D13 D14 D15 D16 D18 D19 D20 D21 D22 D23 D25 D26 D27 D28 D29 D30 D32 D33 D34 D35 D36 D37 D38 D40 D41 D42 D43 D44 D46 D47 D48 D49 D50 D51 D52 D53 D55 D56 D57 D58 D59 D61 D62 D63 D64 D66 D67 D68 D70 D71 D72 D74 D75 D76 D77 D78 D79" showDropDown="0" showInputMessage="0" showErrorMessage="0" allowBlank="1" type="list">
      <formula1>"Ja,Nein"</formula1>
    </dataValidation>
  </dataValidations>
  <pageMargins left="0.75" right="0.75" top="1" bottom="1" header="0.5" footer="0.5"/>
</worksheet>
</file>

<file path=xl/worksheets/sheet4.xml><?xml version="1.0" encoding="utf-8"?>
<worksheet xmlns="http://schemas.openxmlformats.org/spreadsheetml/2006/main">
  <sheetPr>
    <tabColor rgb="00FF9F43"/>
    <outlinePr summaryBelow="1" summaryRight="1"/>
    <pageSetUpPr/>
  </sheetPr>
  <dimension ref="A1:C53"/>
  <sheetViews>
    <sheetView workbookViewId="0">
      <selection activeCell="A1" sqref="A1"/>
    </sheetView>
  </sheetViews>
  <sheetFormatPr baseColWidth="8" defaultRowHeight="15"/>
  <cols>
    <col width="3" customWidth="1" min="1" max="1"/>
    <col width="80" customWidth="1" min="2" max="2"/>
    <col width="3" customWidth="1" min="3" max="3"/>
  </cols>
  <sheetData>
    <row r="1" ht="50" customHeight="1">
      <c r="A1" s="2" t="n"/>
      <c r="B1" s="44" t="inlineStr">
        <is>
          <t>📖 AboRadar – Anleitung</t>
        </is>
      </c>
      <c r="C1" s="2" t="n"/>
    </row>
    <row r="2" ht="10" customHeight="1">
      <c r="A2" s="2" t="n"/>
      <c r="B2" s="45" t="inlineStr"/>
      <c r="C2" s="2" t="n"/>
    </row>
    <row r="3" ht="35" customHeight="1">
      <c r="A3" s="2" t="n"/>
      <c r="B3" s="46" t="inlineStr">
        <is>
          <t>🚀 In 3 Schritten zum Abo-Überblick</t>
        </is>
      </c>
      <c r="C3" s="2" t="n"/>
    </row>
    <row r="4" ht="10" customHeight="1">
      <c r="A4" s="2" t="n"/>
      <c r="B4" s="45" t="inlineStr"/>
      <c r="C4" s="2" t="n"/>
    </row>
    <row r="5" ht="28" customHeight="1">
      <c r="A5" s="2" t="n"/>
      <c r="B5" s="47" t="inlineStr">
        <is>
          <t>Schritt 1: Abos finden</t>
        </is>
      </c>
      <c r="C5" s="2" t="n"/>
    </row>
    <row r="6" ht="22" customHeight="1">
      <c r="A6" s="2" t="n"/>
      <c r="B6" s="45" t="inlineStr">
        <is>
          <t>Gehe zum Tab "Abo-Finder" und arbeite die Checkliste durch.</t>
        </is>
      </c>
      <c r="C6" s="2" t="n"/>
    </row>
    <row r="7" ht="22" customHeight="1">
      <c r="A7" s="2" t="n"/>
      <c r="B7" s="45" t="inlineStr">
        <is>
          <t>Vorher empfehlen wir: Kontoauszuege der letzten 3 Monate checken,</t>
        </is>
      </c>
      <c r="C7" s="2" t="n"/>
    </row>
    <row r="8" ht="22" customHeight="1">
      <c r="A8" s="2" t="n"/>
      <c r="B8" s="45" t="inlineStr">
        <is>
          <t>E-Mail nach "Rechnung" oder "Abonnement" durchsuchen,</t>
        </is>
      </c>
      <c r="C8" s="2" t="n"/>
    </row>
    <row r="9" ht="22" customHeight="1">
      <c r="A9" s="2" t="n"/>
      <c r="B9" s="45" t="inlineStr">
        <is>
          <t>und App-Store Abos prüfen (iPhone/Android).</t>
        </is>
      </c>
      <c r="C9" s="2" t="n"/>
    </row>
    <row r="10" ht="10" customHeight="1">
      <c r="A10" s="2" t="n"/>
      <c r="B10" s="45" t="inlineStr"/>
      <c r="C10" s="2" t="n"/>
    </row>
    <row r="11" ht="28" customHeight="1">
      <c r="A11" s="2" t="n"/>
      <c r="B11" s="47" t="inlineStr">
        <is>
          <t>Schritt 2: Abos eintragen</t>
        </is>
      </c>
      <c r="C11" s="2" t="n"/>
    </row>
    <row r="12" ht="22" customHeight="1">
      <c r="A12" s="2" t="n"/>
      <c r="B12" s="45" t="inlineStr">
        <is>
          <t>Wechsle zum Tab "Abo-Tracker" und trage deine Abos ein.</t>
        </is>
      </c>
      <c r="C12" s="2" t="n"/>
    </row>
    <row r="13" ht="22" customHeight="1">
      <c r="A13" s="2" t="n"/>
      <c r="B13" s="45" t="inlineStr">
        <is>
          <t>Wähle für jedes Abo Kategorie, Kosten und Status aus den Dropdowns.</t>
        </is>
      </c>
      <c r="C13" s="2" t="n"/>
    </row>
    <row r="14" ht="22" customHeight="1">
      <c r="A14" s="2" t="n"/>
      <c r="B14" s="45" t="inlineStr">
        <is>
          <t>Markiere Abos die du nicht mehr nutzt als "Ungenutzt" - sie werden rot.</t>
        </is>
      </c>
      <c r="C14" s="2" t="n"/>
    </row>
    <row r="15" ht="10" customHeight="1">
      <c r="A15" s="2" t="n"/>
      <c r="B15" s="45" t="inlineStr"/>
      <c r="C15" s="2" t="n"/>
    </row>
    <row r="16" ht="28" customHeight="1">
      <c r="A16" s="2" t="n"/>
      <c r="B16" s="47" t="inlineStr">
        <is>
          <t>Schritt 3: Dashboard ansehen</t>
        </is>
      </c>
      <c r="C16" s="2" t="n"/>
    </row>
    <row r="17" ht="22" customHeight="1">
      <c r="A17" s="2" t="n"/>
      <c r="B17" s="45" t="inlineStr">
        <is>
          <t>Das Dashboard berechnet automatisch deine Gesamtkosten,</t>
        </is>
      </c>
      <c r="C17" s="2" t="n"/>
    </row>
    <row r="18" ht="22" customHeight="1">
      <c r="A18" s="2" t="n"/>
      <c r="B18" s="45" t="inlineStr">
        <is>
          <t>zeigt Charts nach Kategorie und markiert Verschwendung.</t>
        </is>
      </c>
      <c r="C18" s="2" t="n"/>
    </row>
    <row r="19" ht="22" customHeight="1">
      <c r="A19" s="2" t="n"/>
      <c r="B19" s="45" t="inlineStr">
        <is>
          <t>Jetzt weißt du genau, wofür du zahlst!</t>
        </is>
      </c>
      <c r="C19" s="2" t="n"/>
    </row>
    <row r="20" ht="15" customHeight="1">
      <c r="A20" s="2" t="n"/>
      <c r="B20" s="45" t="inlineStr"/>
      <c r="C20" s="2" t="n"/>
    </row>
    <row r="21" ht="10" customHeight="1">
      <c r="A21" s="2" t="n"/>
      <c r="B21" s="45" t="inlineStr"/>
      <c r="C21" s="2" t="n"/>
    </row>
    <row r="22" ht="35" customHeight="1">
      <c r="A22" s="2" t="n"/>
      <c r="B22" s="46" t="inlineStr">
        <is>
          <t>💡 Tipps zum Geld sparen</t>
        </is>
      </c>
      <c r="C22" s="2" t="n"/>
    </row>
    <row r="23" ht="10" customHeight="1">
      <c r="A23" s="2" t="n"/>
      <c r="B23" s="45" t="inlineStr"/>
      <c r="C23" s="2" t="n"/>
    </row>
    <row r="24" ht="22" customHeight="1">
      <c r="A24" s="2" t="n"/>
      <c r="B24" s="45" t="inlineStr">
        <is>
          <t>- Kuendige ungenutzte Abos sofort - warte nicht bis "irgendwann"</t>
        </is>
      </c>
      <c r="C24" s="2" t="n"/>
    </row>
    <row r="25" ht="22" customHeight="1">
      <c r="A25" s="2" t="n"/>
      <c r="B25" s="45" t="inlineStr">
        <is>
          <t>• Prüfe ob günstigere Tarife verfügbar sind (z.B. Jahresabo statt Monatsabo)</t>
        </is>
      </c>
      <c r="C25" s="2" t="n"/>
    </row>
    <row r="26" ht="22" customHeight="1">
      <c r="A26" s="2" t="n"/>
      <c r="B26" s="45" t="inlineStr">
        <is>
          <t>• Teile Familien-Abos mit Partner/Freunden (Spotify Family, Netflix etc.)</t>
        </is>
      </c>
      <c r="C26" s="2" t="n"/>
    </row>
    <row r="27" ht="22" customHeight="1">
      <c r="A27" s="2" t="n"/>
      <c r="B27" s="45" t="inlineStr">
        <is>
          <t>• Nutze kostenlose Alternativen (z.B. YouTube statt Spotify Free)</t>
        </is>
      </c>
      <c r="C27" s="2" t="n"/>
    </row>
    <row r="28" ht="22" customHeight="1">
      <c r="A28" s="2" t="n"/>
      <c r="B28" s="45" t="inlineStr">
        <is>
          <t>• Setze dir einen Kalender-Reminder vor jeder Kündigungsfrist</t>
        </is>
      </c>
      <c r="C28" s="2" t="n"/>
    </row>
    <row r="29" ht="22" customHeight="1">
      <c r="A29" s="2" t="n"/>
      <c r="B29" s="45" t="inlineStr">
        <is>
          <t>• Überprüfe deine Abos alle 3 Monate mit AboRadar</t>
        </is>
      </c>
      <c r="C29" s="2" t="n"/>
    </row>
    <row r="30" ht="15" customHeight="1">
      <c r="A30" s="2" t="n"/>
      <c r="B30" s="45" t="inlineStr"/>
      <c r="C30" s="2" t="n"/>
    </row>
    <row r="31" ht="10" customHeight="1">
      <c r="A31" s="2" t="n"/>
      <c r="B31" s="45" t="inlineStr"/>
      <c r="C31" s="2" t="n"/>
    </row>
    <row r="32" ht="35" customHeight="1">
      <c r="A32" s="2" t="n"/>
      <c r="B32" s="46" t="inlineStr">
        <is>
          <t>⭐ AboRadar Pro – Mehr Power für deinen Abo-Überblick</t>
        </is>
      </c>
      <c r="C32" s="2" t="n"/>
    </row>
    <row r="33" ht="10" customHeight="1">
      <c r="A33" s="2" t="n"/>
      <c r="B33" s="45" t="inlineStr"/>
      <c r="C33" s="2" t="n"/>
    </row>
    <row r="34" ht="22" customHeight="1">
      <c r="A34" s="2" t="n"/>
      <c r="B34" s="45" t="inlineStr">
        <is>
          <t>Dieses Freebie trackt bis zu 5 Abos. Du brauchst mehr?</t>
        </is>
      </c>
      <c r="C34" s="2" t="n"/>
    </row>
    <row r="35" ht="8" customHeight="1">
      <c r="A35" s="2" t="n"/>
      <c r="B35" s="45" t="inlineStr"/>
      <c r="C35" s="2" t="n"/>
    </row>
    <row r="36" ht="25" customHeight="1">
      <c r="A36" s="2" t="n"/>
      <c r="B36" s="48" t="inlineStr">
        <is>
          <t>AboRadar Pro (14,95 € einmalig):</t>
        </is>
      </c>
      <c r="C36" s="2" t="n"/>
    </row>
    <row r="37" ht="22" customHeight="1">
      <c r="A37" s="2" t="n"/>
      <c r="B37" s="45" t="inlineStr">
        <is>
          <t xml:space="preserve">  ✅ Unbegrenzte Abos</t>
        </is>
      </c>
      <c r="C37" s="2" t="n"/>
    </row>
    <row r="38" ht="22" customHeight="1">
      <c r="A38" s="2" t="n"/>
      <c r="B38" s="45" t="inlineStr">
        <is>
          <t xml:space="preserve">  ✅ Kündigungskalender mit Fristenübersicht</t>
        </is>
      </c>
      <c r="C38" s="2" t="n"/>
    </row>
    <row r="39" ht="22" customHeight="1">
      <c r="A39" s="2" t="n"/>
      <c r="B39" s="45" t="inlineStr">
        <is>
          <t xml:space="preserve">  ✅ Kosten-Trends über 12 Monate</t>
        </is>
      </c>
      <c r="C39" s="2" t="n"/>
    </row>
    <row r="40" ht="22" customHeight="1">
      <c r="A40" s="2" t="n"/>
      <c r="B40" s="45" t="inlineStr">
        <is>
          <t xml:space="preserve">  ✅ Dark Mode + Light Mode</t>
        </is>
      </c>
      <c r="C40" s="2" t="n"/>
    </row>
    <row r="41" ht="22" customHeight="1">
      <c r="A41" s="2" t="n"/>
      <c r="B41" s="45" t="inlineStr">
        <is>
          <t xml:space="preserve">  ✅ Excel + Google Sheets Versionen</t>
        </is>
      </c>
      <c r="C41" s="2" t="n"/>
    </row>
    <row r="42" ht="22" customHeight="1">
      <c r="A42" s="2" t="n"/>
      <c r="B42" s="45" t="inlineStr">
        <is>
          <t xml:space="preserve">  ✅ Video-Anleitung</t>
        </is>
      </c>
      <c r="C42" s="2" t="n"/>
    </row>
    <row r="43" ht="8" customHeight="1">
      <c r="A43" s="2" t="n"/>
      <c r="B43" s="45" t="inlineStr"/>
      <c r="C43" s="2" t="n"/>
    </row>
    <row r="44" ht="25" customHeight="1">
      <c r="A44" s="2" t="n"/>
      <c r="B44" s="49" t="inlineStr">
        <is>
          <t>Komplett-Paket (29,95 € einmalig):</t>
        </is>
      </c>
      <c r="C44" s="2" t="n"/>
    </row>
    <row r="45" ht="22" customHeight="1">
      <c r="A45" s="2" t="n"/>
      <c r="B45" s="45" t="inlineStr">
        <is>
          <t xml:space="preserve">  Alles aus Pro + Budget-Tracker + Vertrags-Checkliste</t>
        </is>
      </c>
      <c r="C45" s="2" t="n"/>
    </row>
    <row r="46" ht="22" customHeight="1">
      <c r="A46" s="2" t="n"/>
      <c r="B46" s="45" t="inlineStr">
        <is>
          <t xml:space="preserve">  + Spar-Tipps PDF + Kündigungs-Vorlagen</t>
        </is>
      </c>
      <c r="C46" s="2" t="n"/>
    </row>
    <row r="47" ht="15" customHeight="1">
      <c r="A47" s="2" t="n"/>
      <c r="B47" s="45" t="inlineStr"/>
      <c r="C47" s="2" t="n"/>
    </row>
    <row r="48" ht="25" customHeight="1">
      <c r="A48" s="2" t="n"/>
      <c r="B48" s="47" t="inlineStr">
        <is>
          <t>🌐 Mehr Infos: aboradar.app</t>
        </is>
      </c>
      <c r="C48" s="2" t="n"/>
    </row>
    <row r="49" ht="20" customHeight="1">
      <c r="A49" s="2" t="n"/>
      <c r="B49" s="45" t="inlineStr"/>
      <c r="C49" s="2" t="n"/>
    </row>
    <row r="50" ht="22" customHeight="1">
      <c r="A50" s="2" t="n"/>
      <c r="B50" s="50" t="inlineStr">
        <is>
          <t>Made with ❤️ by AboRadar – Kein Abo für den Abo-Tracker. Versprochen.</t>
        </is>
      </c>
      <c r="C50" s="2" t="n"/>
    </row>
    <row r="51">
      <c r="A51" s="2" t="n"/>
      <c r="B51" s="2" t="n"/>
      <c r="C51" s="2" t="n"/>
    </row>
    <row r="52">
      <c r="A52" s="2" t="n"/>
      <c r="B52" s="2" t="n"/>
      <c r="C52" s="2" t="n"/>
    </row>
    <row r="53">
      <c r="A53" s="2" t="n"/>
      <c r="B53" s="2" t="n"/>
      <c r="C53"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2026-03-12T16:43:33Z</dcterms:created>
  <dcterms:modified xmlns:dcterms="http://purl.org/dc/terms/" xmlns:xsi="http://www.w3.org/2001/XMLSchema-instance" xsi:type="dcterms:W3CDTF">2026-03-12T16:44:24Z</dcterms:modified>
</cp:coreProperties>
</file>